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Dimensions_Lid/"/>
    </mc:Choice>
  </mc:AlternateContent>
  <xr:revisionPtr revIDLastSave="50242" documentId="121_{D12FEFB8-6AB8-449E-8806-6396AAFDFD35}" xr6:coauthVersionLast="47" xr6:coauthVersionMax="47" xr10:uidLastSave="{0CAB4AAD-3302-4E20-BAB1-D823E4560581}"/>
  <bookViews>
    <workbookView xWindow="9105" yWindow="5325" windowWidth="38700" windowHeight="15345" xr2:uid="{5D3FEB3C-2561-4B10-B57D-89B92279F071}"/>
  </bookViews>
  <sheets>
    <sheet name="Sheet1" sheetId="1" r:id="rId1"/>
  </sheets>
  <definedNames>
    <definedName name="area_lid">Sheet1!$B$5</definedName>
    <definedName name="cost_lid">Sheet1!$B$7</definedName>
    <definedName name="diameter_lid_cm">Sheet1!$B$4</definedName>
    <definedName name="hdpe_cost_per_g">Sheet1!$B$8</definedName>
    <definedName name="hdpe_density">Sheet1!$B$6</definedName>
    <definedName name="target_thickness_lid">Sheet1!$B$2</definedName>
    <definedName name="thickness_lid">Sheet1!$B$3</definedName>
    <definedName name="UNC_Lid_Mat_Cost">Sheet1!$B$11</definedName>
    <definedName name="UNC_Lid_Thickness">Sheet1!$B$12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  <c r="B5" i="1"/>
</calcChain>
</file>

<file path=xl/sharedStrings.xml><?xml version="1.0" encoding="utf-8"?>
<sst xmlns="http://schemas.openxmlformats.org/spreadsheetml/2006/main" count="19" uniqueCount="16">
  <si>
    <t>Lid Dimensions</t>
  </si>
  <si>
    <t>thickness_lid</t>
  </si>
  <si>
    <t>cm</t>
  </si>
  <si>
    <t>cm^2</t>
  </si>
  <si>
    <t>area_lid</t>
  </si>
  <si>
    <t>hdpe_density</t>
  </si>
  <si>
    <t>$</t>
  </si>
  <si>
    <t>hdpe_cost_per_g</t>
  </si>
  <si>
    <t>g/cm^3</t>
  </si>
  <si>
    <t>cost_lid</t>
  </si>
  <si>
    <t>diameter_lid_cm</t>
  </si>
  <si>
    <t>UNC_Lid_Mat_Cost</t>
  </si>
  <si>
    <t>% Variance</t>
  </si>
  <si>
    <t>UNC_Lid_Thickness</t>
  </si>
  <si>
    <t>target_thickness_lid</t>
  </si>
  <si>
    <t>% variance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</si>
</sst>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0B59E-CC70-4DCC-800E-B087C856AC48}">
  <dimension ref="A1:C12"/>
  <sheetViews>
    <sheetView tabSelected="1" workbookViewId="0">
      <selection activeCell="B2" sqref="B2"/>
    </sheetView>
  </sheetViews>
  <sheetFormatPr defaultRowHeight="15" x14ac:dyDescent="0.25"/>
  <cols>
    <col min="1" max="1" width="20.42578125" customWidth="1"/>
  </cols>
  <sheetData>
    <row r="1" spans="1:3" x14ac:dyDescent="0.25">
      <c r="A1" t="s">
        <v>0</v>
      </c>
    </row>
    <row r="2" spans="1:3" x14ac:dyDescent="0.25">
      <c r="A2" t="s">
        <v>14</v>
      </c>
      <c r="B2">
        <v>0.2</v>
      </c>
      <c r="C2" t="s">
        <v>2</v>
      </c>
    </row>
    <row r="3" spans="1:3" x14ac:dyDescent="0.25">
      <c r="A3" t="s">
        <v>1</v>
      </c>
      <c r="B3">
        <v>0.2</v>
      </c>
      <c r="C3" t="s">
        <v>2</v>
      </c>
    </row>
    <row r="4" spans="1:3" x14ac:dyDescent="0.25">
      <c r="A4" t="s">
        <v>10</v>
      </c>
      <c r="B4">
        <v>30</v>
      </c>
      <c r="C4" t="s">
        <v>2</v>
      </c>
    </row>
    <row r="5" spans="1:3" x14ac:dyDescent="0.25">
      <c r="A5" t="s">
        <v>4</v>
      </c>
      <c r="B5">
        <f>3.14*(diameter_lid_cm^2) * 0.25</f>
        <v>706.5</v>
      </c>
      <c r="C5" t="s">
        <v>3</v>
      </c>
    </row>
    <row r="6" spans="1:3" x14ac:dyDescent="0.25">
      <c r="A6" t="s">
        <v>5</v>
      </c>
      <c r="B6">
        <v>0.97</v>
      </c>
      <c r="C6" t="s">
        <v>8</v>
      </c>
    </row>
    <row r="7" spans="1:3" x14ac:dyDescent="0.25">
      <c r="A7" t="s">
        <v>9</v>
      </c>
      <c r="B7">
        <f>(PI()*(diameter_lid_cm^2)*0.25)*thickness_lid*hdpe_density*hdpe_cost_per_g*B11</f>
        <v>6.769686120129613</v>
      </c>
      <c r="C7" t="s">
        <v>6</v>
      </c>
    </row>
    <row r="8" spans="1:3" x14ac:dyDescent="0.25">
      <c r="A8" t="s">
        <v>7</v>
      </c>
      <c r="B8">
        <v>0.05</v>
      </c>
      <c r="C8" t="s">
        <v>6</v>
      </c>
    </row>
    <row r="11" spans="1:3" x14ac:dyDescent="0.25">
      <c r="A11" t="s">
        <v>11</v>
      </c>
      <c r="B11">
        <v>0.98733471633376602</v>
      </c>
      <c r="C11" t="s">
        <v>12</v>
      </c>
    </row>
    <row r="12" spans="1:3" x14ac:dyDescent="0.25">
      <c r="A12" t="s">
        <v>13</v>
      </c>
      <c r="B12">
        <v>0.41329796036377697</v>
      </c>
      <c r="C12" t="s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9</vt:i4>
      </vt:variant>
    </vt:vector>
  </HeadingPairs>
  <TitlesOfParts>
    <vt:vector size="10" baseType="lpstr">
      <vt:lpstr>Sheet1</vt:lpstr>
      <vt:lpstr>area_lid</vt:lpstr>
      <vt:lpstr>cost_lid</vt:lpstr>
      <vt:lpstr>diameter_lid_cm</vt:lpstr>
      <vt:lpstr>hdpe_cost_per_g</vt:lpstr>
      <vt:lpstr>hdpe_density</vt:lpstr>
      <vt:lpstr>target_thickness_lid</vt:lpstr>
      <vt:lpstr>thickness_lid</vt:lpstr>
      <vt:lpstr>UNC_Lid_Mat_Cost</vt:lpstr>
      <vt:lpstr>UNC_Lid_Thickness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Michael Bailey</cp:lastModifiedBy>
  <dcterms:created xsi:type="dcterms:W3CDTF">2025-10-28T04:21:03Z</dcterms:created>
  <dcterms:modified xsi:type="dcterms:W3CDTF">2025-11-16T20:07:20Z</dcterms:modified>
</cp:coreProperties>
</file>