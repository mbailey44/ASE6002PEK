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drawings/drawing2.xml" ContentType="application/vnd.openxmlformats-officedocument.drawingml.chartshap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cha\Desktop\elicitation\"/>
    </mc:Choice>
  </mc:AlternateContent>
  <xr:revisionPtr revIDLastSave="0" documentId="13_ncr:1_{07146DBB-E3C5-4BD1-96FB-1F706FF6A8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line" sheetId="2" r:id="rId1"/>
    <sheet name="ErrorStatus" sheetId="3" r:id="rId2"/>
    <sheet name="PDF" sheetId="5" r:id="rId3"/>
    <sheet name="InverseCDF" sheetId="7" r:id="rId4"/>
    <sheet name="Computations" sheetId="1" state="hidden" r:id="rId5"/>
    <sheet name="CurveData" sheetId="4" state="hidden" r:id="rId6"/>
  </sheets>
  <definedNames>
    <definedName name="input">#REF!</definedName>
    <definedName name="n">Computations!$U$1</definedName>
    <definedName name="outpu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" i="2" l="1"/>
  <c r="A5" i="2"/>
  <c r="A6" i="2" s="1"/>
  <c r="A7" i="2" s="1"/>
  <c r="A8" i="2" s="1"/>
  <c r="A9" i="2" s="1"/>
  <c r="A10" i="2" s="1"/>
  <c r="A11" i="2" s="1"/>
  <c r="A3" i="2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6" i="7"/>
  <c r="B1" i="1"/>
  <c r="D16" i="2"/>
  <c r="C67" i="2"/>
  <c r="D58" i="2"/>
  <c r="C95" i="2"/>
  <c r="C47" i="2"/>
  <c r="D36" i="2"/>
  <c r="D44" i="2"/>
  <c r="C17" i="2"/>
  <c r="C22" i="2"/>
  <c r="D81" i="2"/>
  <c r="D86" i="2"/>
  <c r="C50" i="2"/>
  <c r="D70" i="2"/>
  <c r="C10" i="2"/>
  <c r="D2" i="2"/>
  <c r="C55" i="2"/>
  <c r="C51" i="2"/>
  <c r="D41" i="2"/>
  <c r="C72" i="2"/>
  <c r="D90" i="2"/>
  <c r="D50" i="2"/>
  <c r="D12" i="2"/>
  <c r="D30" i="2"/>
  <c r="D82" i="2"/>
  <c r="D62" i="2"/>
  <c r="C31" i="2"/>
  <c r="D56" i="2"/>
  <c r="D63" i="2"/>
  <c r="C98" i="2"/>
  <c r="D84" i="2"/>
  <c r="C14" i="2"/>
  <c r="D51" i="2"/>
  <c r="C62" i="2"/>
  <c r="D33" i="2"/>
  <c r="C64" i="2"/>
  <c r="C59" i="2"/>
  <c r="D77" i="2"/>
  <c r="D53" i="2"/>
  <c r="D24" i="2"/>
  <c r="D4" i="2"/>
  <c r="C57" i="2"/>
  <c r="C81" i="2"/>
  <c r="D67" i="2"/>
  <c r="D100" i="2"/>
  <c r="D37" i="2"/>
  <c r="C37" i="2"/>
  <c r="D96" i="2"/>
  <c r="C76" i="2"/>
  <c r="C61" i="2"/>
  <c r="C3" i="2"/>
  <c r="D7" i="2"/>
  <c r="D85" i="2"/>
  <c r="D94" i="2"/>
  <c r="D92" i="2"/>
  <c r="D6" i="2"/>
  <c r="C52" i="2"/>
  <c r="C89" i="2"/>
  <c r="D21" i="2"/>
  <c r="C42" i="2"/>
  <c r="C35" i="2"/>
  <c r="D45" i="2"/>
  <c r="D3" i="2"/>
  <c r="C84" i="2"/>
  <c r="D71" i="2"/>
  <c r="C68" i="2"/>
  <c r="C54" i="2"/>
  <c r="D91" i="2"/>
  <c r="C70" i="2"/>
  <c r="D97" i="2"/>
  <c r="C86" i="2"/>
  <c r="D57" i="2"/>
  <c r="D13" i="2"/>
  <c r="D93" i="2"/>
  <c r="C2" i="2"/>
  <c r="C91" i="2"/>
  <c r="C85" i="2"/>
  <c r="D60" i="2"/>
  <c r="C66" i="2"/>
  <c r="D66" i="2"/>
  <c r="C36" i="2"/>
  <c r="D64" i="2"/>
  <c r="D83" i="2"/>
  <c r="D59" i="2"/>
  <c r="D75" i="2"/>
  <c r="D18" i="2"/>
  <c r="C69" i="2"/>
  <c r="C93" i="2"/>
  <c r="C44" i="2"/>
  <c r="D99" i="2"/>
  <c r="D22" i="2"/>
  <c r="C4" i="2"/>
  <c r="C45" i="2"/>
  <c r="C75" i="2"/>
  <c r="C87" i="2"/>
  <c r="C53" i="2"/>
  <c r="C29" i="2"/>
  <c r="D8" i="2"/>
  <c r="C49" i="2"/>
  <c r="C5" i="2"/>
  <c r="C28" i="2"/>
  <c r="C11" i="2"/>
  <c r="C46" i="2"/>
  <c r="C79" i="2"/>
  <c r="C48" i="2"/>
  <c r="D27" i="2"/>
  <c r="C90" i="2"/>
  <c r="D9" i="2"/>
  <c r="D35" i="2"/>
  <c r="C73" i="2"/>
  <c r="C34" i="2"/>
  <c r="D76" i="2"/>
  <c r="D49" i="2"/>
  <c r="C97" i="2"/>
  <c r="C40" i="2"/>
  <c r="D23" i="2"/>
  <c r="D69" i="2"/>
  <c r="C80" i="2"/>
  <c r="C7" i="2"/>
  <c r="C38" i="2"/>
  <c r="C26" i="2"/>
  <c r="D78" i="2"/>
  <c r="C24" i="2"/>
  <c r="D68" i="2"/>
  <c r="D55" i="2"/>
  <c r="C13" i="2"/>
  <c r="C41" i="2"/>
  <c r="C82" i="2"/>
  <c r="D38" i="2"/>
  <c r="D39" i="2"/>
  <c r="D20" i="2"/>
  <c r="C23" i="2"/>
  <c r="C63" i="2"/>
  <c r="D74" i="2"/>
  <c r="D89" i="2"/>
  <c r="C92" i="2"/>
  <c r="C99" i="2"/>
  <c r="D95" i="2"/>
  <c r="D72" i="2"/>
  <c r="C39" i="2"/>
  <c r="C58" i="2"/>
  <c r="C74" i="2"/>
  <c r="C78" i="2"/>
  <c r="D42" i="2"/>
  <c r="D73" i="2"/>
  <c r="D14" i="2"/>
  <c r="D31" i="2"/>
  <c r="C32" i="2"/>
  <c r="C12" i="2"/>
  <c r="C71" i="2"/>
  <c r="D43" i="2"/>
  <c r="C100" i="2"/>
  <c r="C9" i="2"/>
  <c r="C88" i="2"/>
  <c r="D17" i="2"/>
  <c r="C8" i="2"/>
  <c r="D10" i="2"/>
  <c r="D26" i="2"/>
  <c r="C27" i="2"/>
  <c r="D5" i="2"/>
  <c r="C16" i="2"/>
  <c r="D40" i="2"/>
  <c r="D47" i="2"/>
  <c r="D34" i="2"/>
  <c r="C20" i="2"/>
  <c r="D88" i="2"/>
  <c r="D15" i="2"/>
  <c r="D29" i="2"/>
  <c r="C65" i="2"/>
  <c r="D98" i="2"/>
  <c r="D52" i="2"/>
  <c r="C21" i="2"/>
  <c r="C19" i="2"/>
  <c r="C30" i="2"/>
  <c r="C94" i="2"/>
  <c r="D25" i="2"/>
  <c r="C15" i="2"/>
  <c r="D87" i="2"/>
  <c r="C83" i="2"/>
  <c r="D28" i="2"/>
  <c r="D46" i="2"/>
  <c r="D80" i="2"/>
  <c r="C33" i="2"/>
  <c r="D19" i="2"/>
  <c r="C60" i="2"/>
  <c r="C77" i="2"/>
  <c r="D79" i="2"/>
  <c r="D54" i="2"/>
  <c r="C56" i="2"/>
  <c r="D48" i="2"/>
  <c r="C96" i="2"/>
  <c r="C6" i="2"/>
  <c r="D32" i="2"/>
  <c r="D65" i="2"/>
  <c r="C25" i="2"/>
  <c r="C18" i="2"/>
  <c r="D11" i="2"/>
  <c r="D61" i="2"/>
  <c r="C43" i="2"/>
  <c r="U1" i="1" l="1"/>
  <c r="V1" i="1"/>
  <c r="X1" i="1" l="1"/>
  <c r="C202" i="4"/>
  <c r="W1" i="1"/>
  <c r="C2" i="7"/>
  <c r="C61" i="1" l="1"/>
  <c r="B5" i="3"/>
  <c r="C65" i="1"/>
  <c r="C81" i="1"/>
  <c r="C97" i="1"/>
  <c r="C38" i="1"/>
  <c r="C16" i="1"/>
  <c r="C66" i="1"/>
  <c r="C82" i="1"/>
  <c r="C98" i="1"/>
  <c r="C39" i="1"/>
  <c r="C17" i="1"/>
  <c r="C51" i="1"/>
  <c r="C67" i="1"/>
  <c r="C83" i="1"/>
  <c r="C99" i="1"/>
  <c r="C40" i="1"/>
  <c r="C18" i="1"/>
  <c r="C52" i="1"/>
  <c r="C41" i="1"/>
  <c r="C88" i="1"/>
  <c r="C60" i="1"/>
  <c r="C49" i="1"/>
  <c r="C64" i="1"/>
  <c r="B16" i="1"/>
  <c r="B20" i="1"/>
  <c r="B24" i="1"/>
  <c r="B28" i="1"/>
  <c r="B32" i="1"/>
  <c r="B36" i="1"/>
  <c r="B40" i="1"/>
  <c r="B44" i="1"/>
  <c r="B48" i="1"/>
  <c r="B52" i="1"/>
  <c r="B56" i="1"/>
  <c r="B60" i="1"/>
  <c r="B64" i="1"/>
  <c r="B68" i="1"/>
  <c r="B72" i="1"/>
  <c r="B76" i="1"/>
  <c r="B80" i="1"/>
  <c r="B84" i="1"/>
  <c r="B88" i="1"/>
  <c r="B92" i="1"/>
  <c r="B96" i="1"/>
  <c r="B100" i="1"/>
  <c r="C73" i="1"/>
  <c r="C93" i="1"/>
  <c r="C42" i="1"/>
  <c r="C24" i="1"/>
  <c r="C62" i="1"/>
  <c r="C86" i="1"/>
  <c r="C31" i="1"/>
  <c r="C55" i="1"/>
  <c r="C75" i="1"/>
  <c r="C95" i="1"/>
  <c r="C44" i="1"/>
  <c r="C100" i="1"/>
  <c r="C29" i="1"/>
  <c r="C92" i="1"/>
  <c r="C37" i="1"/>
  <c r="B14" i="1"/>
  <c r="B19" i="1"/>
  <c r="B25" i="1"/>
  <c r="B30" i="1"/>
  <c r="B35" i="1"/>
  <c r="B41" i="1"/>
  <c r="B46" i="1"/>
  <c r="B51" i="1"/>
  <c r="B57" i="1"/>
  <c r="B62" i="1"/>
  <c r="B67" i="1"/>
  <c r="B73" i="1"/>
  <c r="B78" i="1"/>
  <c r="B83" i="1"/>
  <c r="B89" i="1"/>
  <c r="B94" i="1"/>
  <c r="B99" i="1"/>
  <c r="C53" i="1"/>
  <c r="C77" i="1"/>
  <c r="C26" i="1"/>
  <c r="C46" i="1"/>
  <c r="C70" i="1"/>
  <c r="C90" i="1"/>
  <c r="C35" i="1"/>
  <c r="C21" i="1"/>
  <c r="C59" i="1"/>
  <c r="C79" i="1"/>
  <c r="C28" i="1"/>
  <c r="C48" i="1"/>
  <c r="C19" i="1"/>
  <c r="C45" i="1"/>
  <c r="C33" i="1"/>
  <c r="C15" i="1"/>
  <c r="B15" i="1"/>
  <c r="B21" i="1"/>
  <c r="B26" i="1"/>
  <c r="B31" i="1"/>
  <c r="B37" i="1"/>
  <c r="B42" i="1"/>
  <c r="B47" i="1"/>
  <c r="B53" i="1"/>
  <c r="B58" i="1"/>
  <c r="B63" i="1"/>
  <c r="B69" i="1"/>
  <c r="B74" i="1"/>
  <c r="B79" i="1"/>
  <c r="B85" i="1"/>
  <c r="B90" i="1"/>
  <c r="B95" i="1"/>
  <c r="C89" i="1"/>
  <c r="C20" i="1"/>
  <c r="C78" i="1"/>
  <c r="C47" i="1"/>
  <c r="C71" i="1"/>
  <c r="C36" i="1"/>
  <c r="C84" i="1"/>
  <c r="C76" i="1"/>
  <c r="C80" i="1"/>
  <c r="B18" i="1"/>
  <c r="B29" i="1"/>
  <c r="B39" i="1"/>
  <c r="B50" i="1"/>
  <c r="B61" i="1"/>
  <c r="B71" i="1"/>
  <c r="B82" i="1"/>
  <c r="B93" i="1"/>
  <c r="C57" i="1"/>
  <c r="C30" i="1"/>
  <c r="C54" i="1"/>
  <c r="C94" i="1"/>
  <c r="C25" i="1"/>
  <c r="C87" i="1"/>
  <c r="C14" i="1"/>
  <c r="C56" i="1"/>
  <c r="B22" i="1"/>
  <c r="B33" i="1"/>
  <c r="B43" i="1"/>
  <c r="B54" i="1"/>
  <c r="B65" i="1"/>
  <c r="B75" i="1"/>
  <c r="B86" i="1"/>
  <c r="B97" i="1"/>
  <c r="C69" i="1"/>
  <c r="C34" i="1"/>
  <c r="C58" i="1"/>
  <c r="C27" i="1"/>
  <c r="C91" i="1"/>
  <c r="C22" i="1"/>
  <c r="C72" i="1"/>
  <c r="C96" i="1"/>
  <c r="B23" i="1"/>
  <c r="B34" i="1"/>
  <c r="B45" i="1"/>
  <c r="B55" i="1"/>
  <c r="B66" i="1"/>
  <c r="B77" i="1"/>
  <c r="B87" i="1"/>
  <c r="B98" i="1"/>
  <c r="C85" i="1"/>
  <c r="C50" i="1"/>
  <c r="C74" i="1"/>
  <c r="C43" i="1"/>
  <c r="C63" i="1"/>
  <c r="C32" i="1"/>
  <c r="C68" i="1"/>
  <c r="C23" i="1"/>
  <c r="B17" i="1"/>
  <c r="B27" i="1"/>
  <c r="B38" i="1"/>
  <c r="B49" i="1"/>
  <c r="B59" i="1"/>
  <c r="B70" i="1"/>
  <c r="B81" i="1"/>
  <c r="B91" i="1"/>
  <c r="B6" i="3"/>
  <c r="B11" i="1"/>
  <c r="C2" i="1"/>
  <c r="B3" i="1"/>
  <c r="C7" i="1"/>
  <c r="C3" i="1"/>
  <c r="B8" i="1"/>
  <c r="C4" i="1"/>
  <c r="C11" i="1"/>
  <c r="B5" i="1"/>
  <c r="C9" i="1"/>
  <c r="B10" i="1"/>
  <c r="C13" i="1"/>
  <c r="C10" i="1"/>
  <c r="C12" i="1"/>
  <c r="I2" i="7" s="1"/>
  <c r="C8" i="1"/>
  <c r="C6" i="1"/>
  <c r="B12" i="1"/>
  <c r="B4" i="1"/>
  <c r="B9" i="1"/>
  <c r="B7" i="1"/>
  <c r="B2" i="1"/>
  <c r="C5" i="1"/>
  <c r="B6" i="1"/>
  <c r="B13" i="1"/>
  <c r="G2" i="1" l="1"/>
  <c r="E3" i="1"/>
  <c r="D4" i="1"/>
  <c r="F3" i="1"/>
  <c r="G3" i="1"/>
  <c r="E4" i="1"/>
  <c r="F2" i="1"/>
  <c r="D3" i="1"/>
  <c r="F80" i="1"/>
  <c r="D81" i="1"/>
  <c r="G57" i="1"/>
  <c r="E58" i="1"/>
  <c r="D11" i="1"/>
  <c r="F10" i="1"/>
  <c r="F38" i="1"/>
  <c r="D39" i="1"/>
  <c r="F36" i="1"/>
  <c r="D37" i="1"/>
  <c r="E28" i="1"/>
  <c r="G27" i="1"/>
  <c r="F45" i="1"/>
  <c r="D46" i="1"/>
  <c r="G6" i="1"/>
  <c r="E7" i="1"/>
  <c r="F95" i="1"/>
  <c r="D96" i="1"/>
  <c r="E39" i="1"/>
  <c r="G38" i="1"/>
  <c r="F69" i="1"/>
  <c r="D70" i="1"/>
  <c r="D27" i="1"/>
  <c r="F26" i="1"/>
  <c r="G67" i="1"/>
  <c r="E68" i="1"/>
  <c r="G73" i="1"/>
  <c r="E74" i="1"/>
  <c r="F97" i="1"/>
  <c r="D98" i="1"/>
  <c r="F54" i="1"/>
  <c r="D55" i="1"/>
  <c r="F12" i="1"/>
  <c r="D13" i="1"/>
  <c r="E91" i="1"/>
  <c r="G90" i="1"/>
  <c r="E34" i="1"/>
  <c r="G33" i="1"/>
  <c r="F85" i="1"/>
  <c r="D86" i="1"/>
  <c r="D43" i="1"/>
  <c r="F42" i="1"/>
  <c r="G7" i="1"/>
  <c r="E8" i="1"/>
  <c r="G24" i="1"/>
  <c r="E25" i="1"/>
  <c r="G56" i="1"/>
  <c r="E57" i="1"/>
  <c r="F70" i="1"/>
  <c r="D71" i="1"/>
  <c r="F28" i="1"/>
  <c r="D29" i="1"/>
  <c r="G83" i="1"/>
  <c r="E84" i="1"/>
  <c r="G77" i="1"/>
  <c r="E78" i="1"/>
  <c r="F94" i="1"/>
  <c r="D95" i="1"/>
  <c r="F73" i="1"/>
  <c r="D74" i="1"/>
  <c r="D53" i="1"/>
  <c r="F52" i="1"/>
  <c r="F30" i="1"/>
  <c r="D31" i="1"/>
  <c r="F9" i="1"/>
  <c r="D10" i="1"/>
  <c r="E19" i="1"/>
  <c r="G18" i="1"/>
  <c r="E79" i="1"/>
  <c r="G78" i="1"/>
  <c r="E90" i="1"/>
  <c r="G89" i="1"/>
  <c r="G25" i="1"/>
  <c r="E26" i="1"/>
  <c r="F4" i="1"/>
  <c r="D5" i="1"/>
  <c r="F82" i="1"/>
  <c r="D83" i="1"/>
  <c r="F61" i="1"/>
  <c r="D62" i="1"/>
  <c r="F40" i="1"/>
  <c r="D41" i="1"/>
  <c r="F18" i="1"/>
  <c r="D19" i="1"/>
  <c r="E92" i="1"/>
  <c r="G91" i="1"/>
  <c r="G43" i="1"/>
  <c r="E44" i="1"/>
  <c r="E13" i="1"/>
  <c r="G12" i="1"/>
  <c r="G23" i="1"/>
  <c r="E24" i="1"/>
  <c r="D92" i="1"/>
  <c r="F91" i="1"/>
  <c r="F75" i="1"/>
  <c r="D76" i="1"/>
  <c r="F59" i="1"/>
  <c r="D60" i="1"/>
  <c r="F43" i="1"/>
  <c r="D44" i="1"/>
  <c r="F27" i="1"/>
  <c r="D28" i="1"/>
  <c r="F11" i="1"/>
  <c r="D12" i="1"/>
  <c r="G59" i="1"/>
  <c r="E60" i="1"/>
  <c r="G17" i="1"/>
  <c r="E18" i="1"/>
  <c r="G66" i="1"/>
  <c r="E67" i="1"/>
  <c r="E98" i="1"/>
  <c r="G97" i="1"/>
  <c r="G15" i="1"/>
  <c r="E16" i="1"/>
  <c r="G64" i="1"/>
  <c r="E65" i="1"/>
  <c r="F37" i="1"/>
  <c r="D38" i="1"/>
  <c r="E43" i="1"/>
  <c r="G42" i="1"/>
  <c r="F22" i="1"/>
  <c r="D23" i="1"/>
  <c r="F96" i="1"/>
  <c r="D97" i="1"/>
  <c r="G86" i="1"/>
  <c r="E87" i="1"/>
  <c r="F81" i="1"/>
  <c r="D82" i="1"/>
  <c r="E47" i="1"/>
  <c r="G46" i="1"/>
  <c r="F57" i="1"/>
  <c r="D58" i="1"/>
  <c r="G44" i="1"/>
  <c r="E45" i="1"/>
  <c r="E46" i="1"/>
  <c r="G45" i="1"/>
  <c r="F66" i="1"/>
  <c r="D67" i="1"/>
  <c r="E37" i="1"/>
  <c r="G36" i="1"/>
  <c r="E62" i="1"/>
  <c r="G61" i="1"/>
  <c r="D80" i="1"/>
  <c r="F79" i="1"/>
  <c r="D48" i="1"/>
  <c r="F47" i="1"/>
  <c r="D16" i="1"/>
  <c r="F15" i="1"/>
  <c r="E52" i="1"/>
  <c r="G51" i="1"/>
  <c r="F6" i="1"/>
  <c r="D7" i="1"/>
  <c r="G5" i="1"/>
  <c r="E6" i="1"/>
  <c r="D59" i="1"/>
  <c r="F58" i="1"/>
  <c r="F16" i="1"/>
  <c r="D17" i="1"/>
  <c r="G31" i="1"/>
  <c r="E32" i="1"/>
  <c r="G49" i="1"/>
  <c r="E50" i="1"/>
  <c r="F86" i="1"/>
  <c r="D87" i="1"/>
  <c r="F44" i="1"/>
  <c r="D45" i="1"/>
  <c r="G95" i="1"/>
  <c r="E96" i="1"/>
  <c r="G9" i="1"/>
  <c r="E10" i="1"/>
  <c r="E69" i="1"/>
  <c r="G68" i="1"/>
  <c r="D75" i="1"/>
  <c r="F74" i="1"/>
  <c r="F32" i="1"/>
  <c r="D33" i="1"/>
  <c r="G55" i="1"/>
  <c r="E56" i="1"/>
  <c r="E94" i="1"/>
  <c r="G93" i="1"/>
  <c r="D6" i="1"/>
  <c r="F5" i="1"/>
  <c r="F60" i="1"/>
  <c r="D61" i="1"/>
  <c r="F17" i="1"/>
  <c r="D18" i="1"/>
  <c r="G35" i="1"/>
  <c r="E36" i="1"/>
  <c r="G19" i="1"/>
  <c r="E20" i="1"/>
  <c r="F89" i="1"/>
  <c r="D90" i="1"/>
  <c r="D69" i="1"/>
  <c r="F68" i="1"/>
  <c r="F46" i="1"/>
  <c r="D47" i="1"/>
  <c r="F25" i="1"/>
  <c r="D26" i="1"/>
  <c r="G14" i="1"/>
  <c r="E15" i="1"/>
  <c r="G10" i="1"/>
  <c r="E11" i="1"/>
  <c r="E59" i="1"/>
  <c r="G58" i="1"/>
  <c r="G69" i="1"/>
  <c r="E70" i="1"/>
  <c r="E77" i="1"/>
  <c r="G76" i="1"/>
  <c r="F98" i="1"/>
  <c r="D99" i="1"/>
  <c r="F77" i="1"/>
  <c r="D78" i="1"/>
  <c r="F56" i="1"/>
  <c r="D57" i="1"/>
  <c r="F34" i="1"/>
  <c r="D35" i="1"/>
  <c r="F13" i="1"/>
  <c r="D14" i="1"/>
  <c r="E29" i="1"/>
  <c r="G28" i="1"/>
  <c r="G94" i="1"/>
  <c r="E95" i="1"/>
  <c r="E31" i="1"/>
  <c r="G30" i="1"/>
  <c r="E42" i="1"/>
  <c r="G41" i="1"/>
  <c r="E5" i="1"/>
  <c r="G4" i="1"/>
  <c r="F87" i="1"/>
  <c r="D88" i="1"/>
  <c r="D72" i="1"/>
  <c r="F71" i="1"/>
  <c r="D56" i="1"/>
  <c r="F55" i="1"/>
  <c r="D40" i="1"/>
  <c r="F39" i="1"/>
  <c r="D24" i="1"/>
  <c r="F23" i="1"/>
  <c r="D8" i="1"/>
  <c r="F7" i="1"/>
  <c r="G87" i="1"/>
  <c r="E88" i="1"/>
  <c r="G39" i="1"/>
  <c r="E40" i="1"/>
  <c r="C3" i="7"/>
  <c r="C6" i="7"/>
  <c r="C7" i="7"/>
  <c r="C18" i="7"/>
  <c r="C22" i="7"/>
  <c r="C26" i="7"/>
  <c r="C12" i="7"/>
  <c r="C31" i="7"/>
  <c r="C39" i="7"/>
  <c r="C43" i="7"/>
  <c r="C47" i="7"/>
  <c r="C51" i="7"/>
  <c r="C30" i="7"/>
  <c r="C38" i="7"/>
  <c r="C58" i="7"/>
  <c r="C65" i="7"/>
  <c r="C69" i="7"/>
  <c r="C73" i="7"/>
  <c r="C77" i="7"/>
  <c r="C81" i="7"/>
  <c r="C85" i="7"/>
  <c r="C63" i="7"/>
  <c r="C90" i="7"/>
  <c r="C94" i="7"/>
  <c r="C98" i="7"/>
  <c r="C89" i="7"/>
  <c r="C10" i="7"/>
  <c r="C13" i="7"/>
  <c r="C17" i="7"/>
  <c r="C23" i="7"/>
  <c r="C4" i="7"/>
  <c r="C29" i="7"/>
  <c r="C9" i="7"/>
  <c r="C45" i="7"/>
  <c r="C50" i="7"/>
  <c r="C32" i="7"/>
  <c r="C54" i="7"/>
  <c r="C64" i="7"/>
  <c r="C70" i="7"/>
  <c r="C75" i="7"/>
  <c r="C80" i="7"/>
  <c r="C61" i="7"/>
  <c r="C87" i="7"/>
  <c r="C93" i="7"/>
  <c r="C99" i="7"/>
  <c r="G50" i="1"/>
  <c r="C19" i="7"/>
  <c r="C25" i="7"/>
  <c r="C5" i="7"/>
  <c r="C41" i="7"/>
  <c r="C48" i="7"/>
  <c r="C28" i="7"/>
  <c r="C56" i="7"/>
  <c r="C67" i="7"/>
  <c r="C74" i="7"/>
  <c r="C82" i="7"/>
  <c r="C55" i="7"/>
  <c r="C92" i="7"/>
  <c r="C100" i="7"/>
  <c r="C20" i="7"/>
  <c r="C8" i="7"/>
  <c r="C37" i="7"/>
  <c r="C49" i="7"/>
  <c r="C36" i="7"/>
  <c r="C66" i="7"/>
  <c r="C76" i="7"/>
  <c r="C84" i="7"/>
  <c r="C91" i="7"/>
  <c r="C101" i="7"/>
  <c r="C21" i="7"/>
  <c r="C33" i="7"/>
  <c r="C46" i="7"/>
  <c r="C40" i="7"/>
  <c r="C71" i="7"/>
  <c r="C83" i="7"/>
  <c r="C95" i="7"/>
  <c r="E51" i="1"/>
  <c r="C15" i="7"/>
  <c r="C24" i="7"/>
  <c r="C35" i="7"/>
  <c r="C52" i="7"/>
  <c r="C60" i="7"/>
  <c r="C72" i="7"/>
  <c r="C88" i="7"/>
  <c r="C96" i="7"/>
  <c r="C14" i="7"/>
  <c r="C34" i="7"/>
  <c r="C79" i="7"/>
  <c r="C59" i="7"/>
  <c r="C11" i="7"/>
  <c r="C42" i="7"/>
  <c r="C62" i="7"/>
  <c r="C86" i="7"/>
  <c r="C53" i="7"/>
  <c r="C97" i="7"/>
  <c r="C16" i="7"/>
  <c r="C68" i="7"/>
  <c r="C27" i="7"/>
  <c r="C78" i="7"/>
  <c r="C57" i="7"/>
  <c r="C44" i="7"/>
  <c r="G81" i="1"/>
  <c r="E82" i="1"/>
  <c r="G37" i="1"/>
  <c r="E38" i="1"/>
  <c r="E23" i="1"/>
  <c r="G22" i="1"/>
  <c r="F65" i="1"/>
  <c r="D66" i="1"/>
  <c r="E22" i="1"/>
  <c r="G21" i="1"/>
  <c r="F53" i="1"/>
  <c r="D54" i="1"/>
  <c r="G29" i="1"/>
  <c r="E30" i="1"/>
  <c r="E76" i="1"/>
  <c r="G75" i="1"/>
  <c r="F78" i="1"/>
  <c r="D79" i="1"/>
  <c r="F14" i="1"/>
  <c r="D15" i="1"/>
  <c r="G34" i="1"/>
  <c r="E35" i="1"/>
  <c r="F88" i="1"/>
  <c r="D89" i="1"/>
  <c r="F24" i="1"/>
  <c r="D25" i="1"/>
  <c r="E55" i="1"/>
  <c r="G54" i="1"/>
  <c r="G72" i="1"/>
  <c r="E73" i="1"/>
  <c r="D64" i="1"/>
  <c r="F63" i="1"/>
  <c r="D32" i="1"/>
  <c r="F31" i="1"/>
  <c r="G48" i="1"/>
  <c r="E49" i="1"/>
  <c r="G82" i="1"/>
  <c r="E83" i="1"/>
  <c r="G80" i="1"/>
  <c r="E81" i="1"/>
  <c r="F90" i="1"/>
  <c r="D91" i="1"/>
  <c r="F48" i="1"/>
  <c r="D49" i="1"/>
  <c r="E12" i="1"/>
  <c r="G11" i="1"/>
  <c r="E63" i="1"/>
  <c r="G62" i="1"/>
  <c r="G84" i="1"/>
  <c r="E85" i="1"/>
  <c r="F76" i="1"/>
  <c r="D77" i="1"/>
  <c r="F33" i="1"/>
  <c r="D34" i="1"/>
  <c r="E72" i="1"/>
  <c r="G71" i="1"/>
  <c r="G26" i="1"/>
  <c r="E27" i="1"/>
  <c r="F64" i="1"/>
  <c r="D65" i="1"/>
  <c r="F21" i="1"/>
  <c r="D22" i="1"/>
  <c r="G13" i="1"/>
  <c r="E14" i="1"/>
  <c r="E54" i="1"/>
  <c r="G53" i="1"/>
  <c r="D93" i="1"/>
  <c r="F92" i="1"/>
  <c r="F49" i="1"/>
  <c r="D50" i="1"/>
  <c r="G79" i="1"/>
  <c r="E80" i="1"/>
  <c r="G70" i="1"/>
  <c r="E71" i="1"/>
  <c r="G88" i="1"/>
  <c r="E89" i="1"/>
  <c r="D85" i="1"/>
  <c r="F84" i="1"/>
  <c r="F62" i="1"/>
  <c r="D63" i="1"/>
  <c r="F41" i="1"/>
  <c r="D42" i="1"/>
  <c r="D21" i="1"/>
  <c r="F20" i="1"/>
  <c r="G32" i="1"/>
  <c r="E33" i="1"/>
  <c r="E48" i="1"/>
  <c r="G47" i="1"/>
  <c r="E21" i="1"/>
  <c r="G20" i="1"/>
  <c r="G8" i="1"/>
  <c r="E9" i="1"/>
  <c r="G52" i="1"/>
  <c r="E53" i="1"/>
  <c r="F93" i="1"/>
  <c r="D94" i="1"/>
  <c r="F72" i="1"/>
  <c r="D73" i="1"/>
  <c r="F50" i="1"/>
  <c r="D51" i="1"/>
  <c r="F29" i="1"/>
  <c r="D30" i="1"/>
  <c r="D9" i="1"/>
  <c r="F8" i="1"/>
  <c r="G99" i="1"/>
  <c r="G100" i="1"/>
  <c r="E100" i="1"/>
  <c r="G74" i="1"/>
  <c r="E75" i="1"/>
  <c r="E86" i="1"/>
  <c r="G85" i="1"/>
  <c r="G92" i="1"/>
  <c r="E93" i="1"/>
  <c r="F100" i="1"/>
  <c r="F99" i="1"/>
  <c r="D100" i="1"/>
  <c r="F83" i="1"/>
  <c r="D84" i="1"/>
  <c r="F67" i="1"/>
  <c r="D68" i="1"/>
  <c r="F51" i="1"/>
  <c r="D52" i="1"/>
  <c r="F35" i="1"/>
  <c r="D36" i="1"/>
  <c r="F19" i="1"/>
  <c r="D20" i="1"/>
  <c r="G63" i="1"/>
  <c r="E64" i="1"/>
  <c r="G40" i="1"/>
  <c r="E41" i="1"/>
  <c r="G98" i="1"/>
  <c r="E99" i="1"/>
  <c r="E17" i="1"/>
  <c r="G16" i="1"/>
  <c r="E66" i="1"/>
  <c r="G65" i="1"/>
  <c r="G96" i="1"/>
  <c r="E97" i="1"/>
  <c r="E61" i="1"/>
  <c r="G60" i="1"/>
  <c r="D202" i="4"/>
  <c r="D2" i="7"/>
  <c r="E202" i="4"/>
  <c r="B4" i="3"/>
  <c r="P2" i="4"/>
  <c r="B2" i="3"/>
  <c r="G202" i="4"/>
  <c r="E2" i="7"/>
  <c r="B3" i="3"/>
  <c r="B3" i="4" l="1"/>
  <c r="B118" i="4"/>
  <c r="B81" i="4"/>
  <c r="B115" i="4"/>
  <c r="B68" i="4"/>
  <c r="B167" i="4"/>
  <c r="B112" i="4"/>
  <c r="B65" i="4"/>
  <c r="B140" i="4"/>
  <c r="B77" i="4"/>
  <c r="B21" i="4"/>
  <c r="B94" i="4"/>
  <c r="B194" i="4"/>
  <c r="B80" i="4"/>
  <c r="B101" i="4"/>
  <c r="B34" i="4"/>
  <c r="B133" i="4"/>
  <c r="B131" i="4"/>
  <c r="B188" i="4"/>
  <c r="B190" i="4"/>
  <c r="B69" i="4"/>
  <c r="B82" i="4"/>
  <c r="B19" i="4"/>
  <c r="B163" i="4"/>
  <c r="B50" i="4"/>
  <c r="B105" i="4"/>
  <c r="B72" i="4"/>
  <c r="B16" i="4"/>
  <c r="B176" i="4"/>
  <c r="B108" i="4"/>
  <c r="B147" i="4"/>
  <c r="B87" i="4"/>
  <c r="B28" i="4"/>
  <c r="B37" i="4"/>
  <c r="B181" i="4"/>
  <c r="B161" i="4"/>
  <c r="B127" i="4"/>
  <c r="B189" i="4"/>
  <c r="B104" i="4"/>
  <c r="B166" i="4"/>
  <c r="B170" i="4"/>
  <c r="B139" i="4"/>
  <c r="B178" i="4"/>
  <c r="B158" i="4"/>
  <c r="B135" i="4"/>
  <c r="B183" i="4"/>
  <c r="B191" i="4"/>
  <c r="B111" i="4"/>
  <c r="B20" i="4"/>
  <c r="B85" i="4"/>
  <c r="B17" i="4"/>
  <c r="B67" i="4"/>
  <c r="B180" i="4"/>
  <c r="B116" i="4"/>
  <c r="B23" i="4"/>
  <c r="B137" i="4"/>
  <c r="B64" i="4"/>
  <c r="B177" i="4"/>
  <c r="B107" i="4"/>
  <c r="B202" i="4"/>
  <c r="F202" i="4" s="1"/>
  <c r="B165" i="4"/>
  <c r="B44" i="4"/>
  <c r="B159" i="4"/>
  <c r="B173" i="4"/>
  <c r="B164" i="4"/>
  <c r="B198" i="4"/>
  <c r="B61" i="4"/>
  <c r="B92" i="4"/>
  <c r="B4" i="4"/>
  <c r="B106" i="4"/>
  <c r="B119" i="4"/>
  <c r="B145" i="4"/>
  <c r="B162" i="4"/>
  <c r="B46" i="4"/>
  <c r="B132" i="4"/>
  <c r="B84" i="4"/>
  <c r="B70" i="4"/>
  <c r="B48" i="4"/>
  <c r="B138" i="4"/>
  <c r="B125" i="4"/>
  <c r="B41" i="4"/>
  <c r="B197" i="4"/>
  <c r="B90" i="4"/>
  <c r="B40" i="4"/>
  <c r="B160" i="4"/>
  <c r="B57" i="4"/>
  <c r="B45" i="4"/>
  <c r="B49" i="4"/>
  <c r="B53" i="4"/>
  <c r="B35" i="4"/>
  <c r="B39" i="4"/>
  <c r="B27" i="4"/>
  <c r="B47" i="4"/>
  <c r="B196" i="4"/>
  <c r="B157" i="4"/>
  <c r="B14" i="4"/>
  <c r="B22" i="4"/>
  <c r="B134" i="4"/>
  <c r="B62" i="4"/>
  <c r="B2" i="4"/>
  <c r="B58" i="4"/>
  <c r="B9" i="4"/>
  <c r="B83" i="4"/>
  <c r="B182" i="4"/>
  <c r="B18" i="4"/>
  <c r="B200" i="4"/>
  <c r="B136" i="4"/>
  <c r="B59" i="4"/>
  <c r="B172" i="4"/>
  <c r="B93" i="4"/>
  <c r="B15" i="4"/>
  <c r="B130" i="4"/>
  <c r="B36" i="4"/>
  <c r="B51" i="4"/>
  <c r="B98" i="4"/>
  <c r="B142" i="4"/>
  <c r="B122" i="4"/>
  <c r="B151" i="4"/>
  <c r="B33" i="4"/>
  <c r="B187" i="4"/>
  <c r="B31" i="4"/>
  <c r="B56" i="4"/>
  <c r="B146" i="4"/>
  <c r="B99" i="4"/>
  <c r="B89" i="4"/>
  <c r="B184" i="4"/>
  <c r="B11" i="4"/>
  <c r="B156" i="4"/>
  <c r="B26" i="4"/>
  <c r="B97" i="4"/>
  <c r="B149" i="4"/>
  <c r="B71" i="4"/>
  <c r="B185" i="4"/>
  <c r="B174" i="4"/>
  <c r="B175" i="4"/>
  <c r="B66" i="4"/>
  <c r="B74" i="4"/>
  <c r="B91" i="4"/>
  <c r="B79" i="4"/>
  <c r="B60" i="4"/>
  <c r="B12" i="4"/>
  <c r="B126" i="4"/>
  <c r="B95" i="4"/>
  <c r="B96" i="4"/>
  <c r="B201" i="4"/>
  <c r="B195" i="4"/>
  <c r="B171" i="4"/>
  <c r="B153" i="4"/>
  <c r="B52" i="4"/>
  <c r="B186" i="4"/>
  <c r="B30" i="4"/>
  <c r="B73" i="4"/>
  <c r="B148" i="4"/>
  <c r="B169" i="4"/>
  <c r="B29" i="4"/>
  <c r="B102" i="4"/>
  <c r="B5" i="4"/>
  <c r="B54" i="4"/>
  <c r="B75" i="4"/>
  <c r="B155" i="4"/>
  <c r="B10" i="4"/>
  <c r="B192" i="4"/>
  <c r="B128" i="4"/>
  <c r="B25" i="4"/>
  <c r="B179" i="4"/>
  <c r="B7" i="4"/>
  <c r="B24" i="4"/>
  <c r="B100" i="4"/>
  <c r="B88" i="4"/>
  <c r="B109" i="4"/>
  <c r="B42" i="4"/>
  <c r="B144" i="4"/>
  <c r="B154" i="4"/>
  <c r="B8" i="4"/>
  <c r="B150" i="4"/>
  <c r="B152" i="4"/>
  <c r="B38" i="4"/>
  <c r="B78" i="4"/>
  <c r="B76" i="4"/>
  <c r="B32" i="4"/>
  <c r="B129" i="4"/>
  <c r="B103" i="4"/>
  <c r="B43" i="4"/>
  <c r="B193" i="4"/>
  <c r="B143" i="4"/>
  <c r="B86" i="4"/>
  <c r="B120" i="4"/>
  <c r="B124" i="4"/>
  <c r="B113" i="4"/>
  <c r="B114" i="4"/>
  <c r="B117" i="4"/>
  <c r="B121" i="4"/>
  <c r="B110" i="4"/>
  <c r="B168" i="4"/>
  <c r="B6" i="4"/>
  <c r="B55" i="4"/>
  <c r="B63" i="4"/>
  <c r="B141" i="4"/>
  <c r="B199" i="4"/>
  <c r="B123" i="4"/>
  <c r="B13" i="4"/>
  <c r="B1" i="3"/>
  <c r="F2" i="2"/>
  <c r="F1" i="2" s="1"/>
  <c r="H96" i="1"/>
  <c r="I51" i="1"/>
  <c r="H52" i="1"/>
  <c r="I41" i="1"/>
  <c r="I49" i="1"/>
  <c r="H26" i="1"/>
  <c r="H29" i="1"/>
  <c r="I23" i="1"/>
  <c r="I47" i="1"/>
  <c r="H91" i="1"/>
  <c r="I52" i="1"/>
  <c r="H27" i="1"/>
  <c r="H47" i="1"/>
  <c r="I92" i="1"/>
  <c r="H54" i="1"/>
  <c r="I35" i="1"/>
  <c r="I99" i="1"/>
  <c r="I50" i="1"/>
  <c r="I93" i="1"/>
  <c r="H8" i="1"/>
  <c r="I62" i="1"/>
  <c r="H88" i="1"/>
  <c r="H79" i="1"/>
  <c r="H13" i="1"/>
  <c r="I64" i="1"/>
  <c r="I76" i="1"/>
  <c r="I48" i="1"/>
  <c r="H80" i="1"/>
  <c r="H48" i="1"/>
  <c r="I88" i="1"/>
  <c r="I14" i="1"/>
  <c r="I53" i="1"/>
  <c r="I65" i="1"/>
  <c r="H37" i="1"/>
  <c r="I7" i="1"/>
  <c r="I39" i="1"/>
  <c r="I71" i="1"/>
  <c r="H4" i="1"/>
  <c r="H30" i="1"/>
  <c r="H28" i="1"/>
  <c r="H76" i="1"/>
  <c r="H58" i="1"/>
  <c r="H93" i="1"/>
  <c r="H68" i="1"/>
  <c r="I58" i="1"/>
  <c r="I15" i="1"/>
  <c r="I79" i="1"/>
  <c r="H36" i="1"/>
  <c r="H45" i="1"/>
  <c r="H42" i="1"/>
  <c r="H97" i="1"/>
  <c r="H89" i="1"/>
  <c r="H18" i="1"/>
  <c r="H90" i="1"/>
  <c r="I26" i="1"/>
  <c r="I10" i="1"/>
  <c r="I3" i="1"/>
  <c r="I19" i="1"/>
  <c r="I29" i="1"/>
  <c r="I33" i="1"/>
  <c r="I90" i="1"/>
  <c r="H72" i="1"/>
  <c r="I78" i="1"/>
  <c r="I55" i="1"/>
  <c r="H41" i="1"/>
  <c r="I5" i="1"/>
  <c r="H51" i="1"/>
  <c r="H61" i="1"/>
  <c r="H12" i="1"/>
  <c r="I42" i="1"/>
  <c r="H33" i="1"/>
  <c r="H60" i="1"/>
  <c r="H92" i="1"/>
  <c r="I8" i="1"/>
  <c r="H71" i="1"/>
  <c r="H75" i="1"/>
  <c r="H98" i="1"/>
  <c r="H63" i="1"/>
  <c r="I67" i="1"/>
  <c r="H85" i="1"/>
  <c r="H16" i="1"/>
  <c r="I100" i="1"/>
  <c r="H100" i="1"/>
  <c r="H20" i="1"/>
  <c r="I84" i="1"/>
  <c r="H53" i="1"/>
  <c r="H11" i="1"/>
  <c r="I31" i="1"/>
  <c r="H21" i="1"/>
  <c r="H22" i="1"/>
  <c r="H39" i="1"/>
  <c r="I34" i="1"/>
  <c r="I77" i="1"/>
  <c r="H14" i="1"/>
  <c r="I46" i="1"/>
  <c r="I89" i="1"/>
  <c r="H35" i="1"/>
  <c r="I60" i="1"/>
  <c r="I32" i="1"/>
  <c r="H95" i="1"/>
  <c r="I86" i="1"/>
  <c r="H31" i="1"/>
  <c r="I6" i="1"/>
  <c r="I57" i="1"/>
  <c r="I81" i="1"/>
  <c r="I96" i="1"/>
  <c r="H64" i="1"/>
  <c r="H17" i="1"/>
  <c r="I11" i="1"/>
  <c r="I43" i="1"/>
  <c r="I75" i="1"/>
  <c r="H23" i="1"/>
  <c r="H43" i="1"/>
  <c r="I18" i="1"/>
  <c r="I61" i="1"/>
  <c r="I4" i="1"/>
  <c r="I30" i="1"/>
  <c r="I73" i="1"/>
  <c r="H77" i="1"/>
  <c r="I28" i="1"/>
  <c r="H56" i="1"/>
  <c r="H7" i="1"/>
  <c r="I85" i="1"/>
  <c r="I54" i="1"/>
  <c r="H73" i="1"/>
  <c r="I95" i="1"/>
  <c r="I45" i="1"/>
  <c r="I36" i="1"/>
  <c r="I80" i="1"/>
  <c r="H2" i="1"/>
  <c r="H3" i="1"/>
  <c r="H40" i="1"/>
  <c r="I83" i="1"/>
  <c r="H99" i="1"/>
  <c r="I72" i="1"/>
  <c r="H32" i="1"/>
  <c r="H70" i="1"/>
  <c r="I21" i="1"/>
  <c r="H84" i="1"/>
  <c r="H82" i="1"/>
  <c r="I24" i="1"/>
  <c r="H34" i="1"/>
  <c r="H81" i="1"/>
  <c r="H50" i="1"/>
  <c r="I68" i="1"/>
  <c r="I74" i="1"/>
  <c r="H46" i="1"/>
  <c r="I91" i="1"/>
  <c r="H78" i="1"/>
  <c r="H38" i="1"/>
  <c r="H65" i="1"/>
  <c r="H74" i="1"/>
  <c r="I20" i="1"/>
  <c r="H62" i="1"/>
  <c r="I63" i="1"/>
  <c r="H87" i="1"/>
  <c r="I87" i="1"/>
  <c r="H94" i="1"/>
  <c r="I13" i="1"/>
  <c r="I56" i="1"/>
  <c r="I98" i="1"/>
  <c r="H69" i="1"/>
  <c r="H10" i="1"/>
  <c r="I25" i="1"/>
  <c r="H19" i="1"/>
  <c r="I17" i="1"/>
  <c r="H55" i="1"/>
  <c r="H9" i="1"/>
  <c r="I44" i="1"/>
  <c r="H49" i="1"/>
  <c r="I16" i="1"/>
  <c r="H5" i="1"/>
  <c r="I66" i="1"/>
  <c r="H44" i="1"/>
  <c r="H86" i="1"/>
  <c r="I22" i="1"/>
  <c r="I37" i="1"/>
  <c r="H15" i="1"/>
  <c r="H66" i="1"/>
  <c r="H59" i="1"/>
  <c r="I27" i="1"/>
  <c r="I59" i="1"/>
  <c r="I40" i="1"/>
  <c r="I82" i="1"/>
  <c r="H25" i="1"/>
  <c r="I9" i="1"/>
  <c r="I94" i="1"/>
  <c r="H83" i="1"/>
  <c r="I70" i="1"/>
  <c r="H24" i="1"/>
  <c r="I12" i="1"/>
  <c r="I97" i="1"/>
  <c r="H67" i="1"/>
  <c r="I69" i="1"/>
  <c r="H6" i="1"/>
  <c r="I38" i="1"/>
  <c r="H57" i="1"/>
  <c r="I2" i="1"/>
  <c r="D47" i="7"/>
  <c r="E58" i="7"/>
  <c r="D64" i="7"/>
  <c r="E91" i="7"/>
  <c r="I64" i="7"/>
  <c r="D33" i="7"/>
  <c r="D3" i="7"/>
  <c r="D94" i="7"/>
  <c r="D6" i="7"/>
  <c r="D52" i="7"/>
  <c r="D61" i="7"/>
  <c r="I33" i="7"/>
  <c r="I15" i="7"/>
  <c r="D4" i="7"/>
  <c r="I97" i="7"/>
  <c r="E98" i="7"/>
  <c r="I44" i="7"/>
  <c r="D96" i="7"/>
  <c r="E5" i="7"/>
  <c r="E13" i="7"/>
  <c r="D70" i="7"/>
  <c r="D35" i="7"/>
  <c r="I62" i="7"/>
  <c r="D51" i="7"/>
  <c r="D80" i="7"/>
  <c r="E34" i="7"/>
  <c r="I25" i="7"/>
  <c r="I89" i="7"/>
  <c r="I66" i="7"/>
  <c r="I7" i="7"/>
  <c r="E19" i="7"/>
  <c r="E90" i="7"/>
  <c r="D98" i="7"/>
  <c r="D99" i="7"/>
  <c r="D14" i="7"/>
  <c r="I96" i="7"/>
  <c r="I21" i="7"/>
  <c r="D43" i="7"/>
  <c r="I92" i="7"/>
  <c r="E14" i="7"/>
  <c r="E12" i="7"/>
  <c r="I87" i="7"/>
  <c r="I83" i="7"/>
  <c r="E86" i="7"/>
  <c r="D93" i="7"/>
  <c r="E55" i="7"/>
  <c r="D7" i="7"/>
  <c r="I78" i="7"/>
  <c r="D19" i="7"/>
  <c r="I59" i="7"/>
  <c r="D50" i="7"/>
  <c r="E101" i="7"/>
  <c r="E81" i="7"/>
  <c r="I31" i="7"/>
  <c r="D17" i="7"/>
  <c r="I34" i="7"/>
  <c r="I91" i="7"/>
  <c r="D45" i="7"/>
  <c r="E75" i="7"/>
  <c r="I55" i="7"/>
  <c r="E88" i="7"/>
  <c r="E39" i="7"/>
  <c r="D91" i="7"/>
  <c r="E93" i="7"/>
  <c r="E57" i="7"/>
  <c r="I84" i="7"/>
  <c r="D8" i="7"/>
  <c r="D27" i="7"/>
  <c r="D73" i="7"/>
  <c r="D40" i="7"/>
  <c r="I57" i="7"/>
  <c r="I6" i="7"/>
  <c r="D24" i="7"/>
  <c r="D25" i="7"/>
  <c r="I42" i="7"/>
  <c r="E99" i="7"/>
  <c r="I38" i="7"/>
  <c r="I79" i="7"/>
  <c r="E30" i="7"/>
  <c r="D76" i="7"/>
  <c r="I74" i="7"/>
  <c r="D56" i="7"/>
  <c r="I68" i="7"/>
  <c r="D83" i="7"/>
  <c r="I16" i="7"/>
  <c r="D97" i="7"/>
  <c r="I17" i="7"/>
  <c r="I32" i="7"/>
  <c r="E11" i="7"/>
  <c r="D26" i="7"/>
  <c r="D72" i="7"/>
  <c r="D68" i="7"/>
  <c r="E29" i="7"/>
  <c r="E67" i="7"/>
  <c r="I35" i="7"/>
  <c r="I39" i="7"/>
  <c r="D89" i="7"/>
  <c r="E31" i="7"/>
  <c r="E69" i="7"/>
  <c r="D15" i="7"/>
  <c r="E61" i="7"/>
  <c r="I12" i="7"/>
  <c r="I90" i="7"/>
  <c r="I85" i="7"/>
  <c r="E87" i="7"/>
  <c r="I19" i="7"/>
  <c r="D82" i="7"/>
  <c r="D75" i="7"/>
  <c r="E10" i="7"/>
  <c r="D21" i="7"/>
  <c r="I27" i="7"/>
  <c r="E59" i="7"/>
  <c r="I73" i="7"/>
  <c r="D101" i="7"/>
  <c r="I80" i="7"/>
  <c r="E22" i="7"/>
  <c r="D44" i="7"/>
  <c r="D9" i="7"/>
  <c r="E79" i="7"/>
  <c r="E94" i="7"/>
  <c r="I13" i="7"/>
  <c r="E36" i="7"/>
  <c r="E21" i="7"/>
  <c r="I3" i="7"/>
  <c r="E48" i="7"/>
  <c r="E78" i="7"/>
  <c r="E95" i="7"/>
  <c r="D58" i="7"/>
  <c r="E62" i="7"/>
  <c r="E60" i="7"/>
  <c r="I67" i="7"/>
  <c r="D90" i="7"/>
  <c r="I11" i="7"/>
  <c r="D49" i="7"/>
  <c r="E9" i="7"/>
  <c r="E66" i="7"/>
  <c r="E74" i="7"/>
  <c r="D84" i="7"/>
  <c r="I48" i="7"/>
  <c r="I18" i="7"/>
  <c r="I46" i="7"/>
  <c r="E82" i="7"/>
  <c r="I47" i="7"/>
  <c r="D13" i="7"/>
  <c r="D65" i="7"/>
  <c r="I22" i="7"/>
  <c r="E24" i="7"/>
  <c r="I52" i="7"/>
  <c r="I40" i="7"/>
  <c r="E100" i="7"/>
  <c r="I9" i="7"/>
  <c r="I95" i="7"/>
  <c r="I65" i="7"/>
  <c r="D5" i="7"/>
  <c r="I53" i="7"/>
  <c r="E71" i="7"/>
  <c r="E3" i="7"/>
  <c r="D57" i="7"/>
  <c r="E72" i="7"/>
  <c r="E80" i="7"/>
  <c r="D62" i="7"/>
  <c r="D30" i="7"/>
  <c r="I23" i="7"/>
  <c r="E8" i="7"/>
  <c r="I75" i="7"/>
  <c r="D79" i="7"/>
  <c r="D12" i="7"/>
  <c r="I49" i="7"/>
  <c r="D95" i="7"/>
  <c r="E84" i="7"/>
  <c r="D34" i="7"/>
  <c r="E96" i="7"/>
  <c r="E17" i="7"/>
  <c r="I61" i="7"/>
  <c r="D20" i="7"/>
  <c r="E32" i="7"/>
  <c r="I24" i="7"/>
  <c r="I29" i="7"/>
  <c r="D85" i="7"/>
  <c r="D63" i="7"/>
  <c r="I37" i="7"/>
  <c r="D39" i="7"/>
  <c r="E77" i="7"/>
  <c r="I69" i="7"/>
  <c r="D37" i="7"/>
  <c r="I100" i="7"/>
  <c r="D10" i="7"/>
  <c r="I72" i="7"/>
  <c r="D48" i="7"/>
  <c r="I10" i="7"/>
  <c r="E73" i="7"/>
  <c r="D23" i="7"/>
  <c r="I28" i="7"/>
  <c r="E40" i="7"/>
  <c r="E28" i="7"/>
  <c r="E41" i="7"/>
  <c r="I88" i="7"/>
  <c r="D36" i="7"/>
  <c r="D86" i="7"/>
  <c r="I76" i="7"/>
  <c r="E89" i="7"/>
  <c r="E64" i="7"/>
  <c r="E45" i="7"/>
  <c r="E47" i="7"/>
  <c r="I98" i="7"/>
  <c r="D88" i="7"/>
  <c r="E83" i="7"/>
  <c r="I93" i="7"/>
  <c r="I36" i="7"/>
  <c r="D87" i="7"/>
  <c r="E16" i="7"/>
  <c r="I94" i="7"/>
  <c r="D38" i="7"/>
  <c r="E38" i="7"/>
  <c r="E51" i="7"/>
  <c r="D78" i="7"/>
  <c r="D46" i="7"/>
  <c r="D74" i="7"/>
  <c r="I60" i="7"/>
  <c r="I20" i="7"/>
  <c r="E52" i="7"/>
  <c r="E6" i="7"/>
  <c r="D11" i="7"/>
  <c r="D53" i="7"/>
  <c r="E56" i="7"/>
  <c r="E63" i="7"/>
  <c r="I70" i="7"/>
  <c r="D55" i="7"/>
  <c r="D66" i="7"/>
  <c r="E65" i="7"/>
  <c r="I86" i="7"/>
  <c r="D54" i="7"/>
  <c r="D81" i="7"/>
  <c r="I45" i="7"/>
  <c r="I54" i="7"/>
  <c r="I26" i="7"/>
  <c r="E18" i="7"/>
  <c r="D18" i="7"/>
  <c r="I58" i="7"/>
  <c r="D32" i="7"/>
  <c r="I77" i="7"/>
  <c r="E53" i="7"/>
  <c r="E4" i="7"/>
  <c r="I71" i="7"/>
  <c r="D59" i="7"/>
  <c r="I81" i="7"/>
  <c r="E7" i="7"/>
  <c r="I56" i="7"/>
  <c r="I63" i="7"/>
  <c r="E46" i="7"/>
  <c r="I30" i="7"/>
  <c r="I99" i="7"/>
  <c r="E35" i="7"/>
  <c r="D16" i="7"/>
  <c r="E92" i="7"/>
  <c r="D28" i="7"/>
  <c r="E33" i="7"/>
  <c r="I101" i="7"/>
  <c r="E37" i="7"/>
  <c r="E70" i="7"/>
  <c r="D29" i="7"/>
  <c r="D100" i="7"/>
  <c r="I8" i="7"/>
  <c r="D92" i="7"/>
  <c r="I50" i="7"/>
  <c r="D22" i="7"/>
  <c r="E42" i="7"/>
  <c r="E15" i="7"/>
  <c r="D31" i="7"/>
  <c r="E25" i="7"/>
  <c r="E68" i="7"/>
  <c r="I51" i="7"/>
  <c r="E50" i="7"/>
  <c r="E20" i="7"/>
  <c r="E26" i="7"/>
  <c r="E23" i="7"/>
  <c r="E76" i="7"/>
  <c r="E49" i="7"/>
  <c r="I43" i="7"/>
  <c r="I41" i="7"/>
  <c r="E85" i="7"/>
  <c r="D60" i="7"/>
  <c r="E54" i="7"/>
  <c r="E43" i="7"/>
  <c r="E27" i="7"/>
  <c r="E97" i="7"/>
  <c r="D77" i="7"/>
  <c r="I14" i="7"/>
  <c r="D71" i="7"/>
  <c r="E44" i="7"/>
  <c r="D41" i="7"/>
  <c r="D42" i="7"/>
  <c r="I4" i="7"/>
  <c r="D67" i="7"/>
  <c r="D69" i="7"/>
  <c r="I82" i="7"/>
  <c r="I5" i="7"/>
  <c r="J59" i="1" l="1"/>
  <c r="K59" i="1" s="1"/>
  <c r="N5" i="1"/>
  <c r="M5" i="1"/>
  <c r="J56" i="1"/>
  <c r="K56" i="1" s="1"/>
  <c r="J83" i="1"/>
  <c r="K83" i="1" s="1"/>
  <c r="N35" i="1"/>
  <c r="M35" i="1"/>
  <c r="J99" i="1"/>
  <c r="K99" i="1" s="1"/>
  <c r="C123" i="4"/>
  <c r="C124" i="4"/>
  <c r="C32" i="4"/>
  <c r="C144" i="4"/>
  <c r="C155" i="4"/>
  <c r="C73" i="4"/>
  <c r="C96" i="4"/>
  <c r="C71" i="4"/>
  <c r="C187" i="4"/>
  <c r="C130" i="4"/>
  <c r="C2" i="4"/>
  <c r="C49" i="4"/>
  <c r="C125" i="4"/>
  <c r="C92" i="4"/>
  <c r="C137" i="4"/>
  <c r="C94" i="4"/>
  <c r="J12" i="1"/>
  <c r="K12" i="1" s="1"/>
  <c r="M10" i="1"/>
  <c r="N10" i="1"/>
  <c r="N65" i="1"/>
  <c r="M65" i="1"/>
  <c r="M81" i="1"/>
  <c r="N81" i="1"/>
  <c r="M70" i="1"/>
  <c r="N70" i="1"/>
  <c r="J72" i="1"/>
  <c r="K72" i="1" s="1"/>
  <c r="J45" i="1"/>
  <c r="K45" i="1" s="1"/>
  <c r="N64" i="1"/>
  <c r="M64" i="1"/>
  <c r="N92" i="1"/>
  <c r="M92" i="1"/>
  <c r="J33" i="1"/>
  <c r="L33" i="1" s="1"/>
  <c r="J10" i="1"/>
  <c r="K10" i="1" s="1"/>
  <c r="N89" i="1"/>
  <c r="M89" i="1"/>
  <c r="M36" i="1"/>
  <c r="N36" i="1"/>
  <c r="N68" i="1"/>
  <c r="M68" i="1"/>
  <c r="N28" i="1"/>
  <c r="M28" i="1"/>
  <c r="J14" i="1"/>
  <c r="K14" i="1" s="1"/>
  <c r="J92" i="1"/>
  <c r="K92" i="1" s="1"/>
  <c r="M91" i="1"/>
  <c r="N91" i="1"/>
  <c r="J38" i="1"/>
  <c r="K38" i="1" s="1"/>
  <c r="N24" i="1"/>
  <c r="M24" i="1"/>
  <c r="J9" i="1"/>
  <c r="L9" i="1" s="1"/>
  <c r="M59" i="1"/>
  <c r="N59" i="1"/>
  <c r="N44" i="1"/>
  <c r="M44" i="1"/>
  <c r="M9" i="1"/>
  <c r="N9" i="1"/>
  <c r="J25" i="1"/>
  <c r="K25" i="1" s="1"/>
  <c r="M87" i="1"/>
  <c r="N87" i="1"/>
  <c r="M73" i="1"/>
  <c r="N73" i="1"/>
  <c r="J61" i="1"/>
  <c r="K61" i="1" s="1"/>
  <c r="N20" i="1"/>
  <c r="M20" i="1"/>
  <c r="J62" i="1"/>
  <c r="L62" i="1" s="1"/>
  <c r="J49" i="1"/>
  <c r="K49" i="1" s="1"/>
  <c r="C55" i="4"/>
  <c r="C193" i="4"/>
  <c r="C100" i="4"/>
  <c r="C102" i="4"/>
  <c r="C60" i="4"/>
  <c r="C156" i="4"/>
  <c r="C142" i="4"/>
  <c r="C182" i="4"/>
  <c r="C27" i="4"/>
  <c r="C84" i="4"/>
  <c r="C145" i="4"/>
  <c r="C173" i="4"/>
  <c r="C67" i="4"/>
  <c r="C158" i="4"/>
  <c r="C161" i="4"/>
  <c r="C16" i="4"/>
  <c r="C190" i="4"/>
  <c r="C65" i="4"/>
  <c r="M25" i="1"/>
  <c r="N25" i="1"/>
  <c r="J16" i="1"/>
  <c r="K16" i="1" s="1"/>
  <c r="M57" i="1"/>
  <c r="N57" i="1"/>
  <c r="M67" i="1"/>
  <c r="N67" i="1"/>
  <c r="J40" i="1"/>
  <c r="K40" i="1" s="1"/>
  <c r="M66" i="1"/>
  <c r="N66" i="1"/>
  <c r="J37" i="1"/>
  <c r="K37" i="1" s="1"/>
  <c r="N86" i="1"/>
  <c r="M86" i="1"/>
  <c r="J66" i="1"/>
  <c r="K66" i="1" s="1"/>
  <c r="J44" i="1"/>
  <c r="L44" i="1" s="1"/>
  <c r="M55" i="1"/>
  <c r="N55" i="1"/>
  <c r="M19" i="1"/>
  <c r="N19" i="1"/>
  <c r="J98" i="1"/>
  <c r="K98" i="1" s="1"/>
  <c r="J13" i="1"/>
  <c r="L13" i="1" s="1"/>
  <c r="L12" i="1"/>
  <c r="J87" i="1"/>
  <c r="K87" i="1" s="1"/>
  <c r="J20" i="1"/>
  <c r="L20" i="1" s="1"/>
  <c r="J68" i="1"/>
  <c r="K68" i="1" s="1"/>
  <c r="J80" i="1"/>
  <c r="K80" i="1" s="1"/>
  <c r="J85" i="1"/>
  <c r="K85" i="1" s="1"/>
  <c r="N56" i="1"/>
  <c r="M56" i="1"/>
  <c r="J30" i="1"/>
  <c r="K30" i="1" s="1"/>
  <c r="M43" i="1"/>
  <c r="N43" i="1"/>
  <c r="J6" i="1"/>
  <c r="K6" i="1" s="1"/>
  <c r="J32" i="1"/>
  <c r="L32" i="1" s="1"/>
  <c r="J46" i="1"/>
  <c r="K46" i="1" s="1"/>
  <c r="N22" i="1"/>
  <c r="M22" i="1"/>
  <c r="M53" i="1"/>
  <c r="N53" i="1"/>
  <c r="J100" i="1"/>
  <c r="L100" i="1" s="1"/>
  <c r="M63" i="1"/>
  <c r="N63" i="1"/>
  <c r="M12" i="1"/>
  <c r="N12" i="1"/>
  <c r="M41" i="1"/>
  <c r="N41" i="1"/>
  <c r="J39" i="1"/>
  <c r="K39" i="1" s="1"/>
  <c r="M79" i="1"/>
  <c r="N79" i="1"/>
  <c r="J93" i="1"/>
  <c r="K93" i="1" s="1"/>
  <c r="M29" i="1"/>
  <c r="N29" i="1"/>
  <c r="M52" i="1"/>
  <c r="N52" i="1"/>
  <c r="O2" i="1"/>
  <c r="P2" i="1" s="1"/>
  <c r="Q2" i="1" s="1"/>
  <c r="J2" i="1"/>
  <c r="K2" i="1" s="1"/>
  <c r="J69" i="1"/>
  <c r="K69" i="1" s="1"/>
  <c r="N83" i="1"/>
  <c r="M83" i="1"/>
  <c r="M15" i="1"/>
  <c r="N15" i="1"/>
  <c r="N49" i="1"/>
  <c r="M49" i="1"/>
  <c r="M69" i="1"/>
  <c r="N69" i="1"/>
  <c r="N78" i="1"/>
  <c r="M78" i="1"/>
  <c r="J24" i="1"/>
  <c r="L24" i="1" s="1"/>
  <c r="M77" i="1"/>
  <c r="N77" i="1"/>
  <c r="J75" i="1"/>
  <c r="K75" i="1" s="1"/>
  <c r="J86" i="1"/>
  <c r="L86" i="1" s="1"/>
  <c r="J31" i="1"/>
  <c r="K31" i="1" s="1"/>
  <c r="N85" i="1"/>
  <c r="M85" i="1"/>
  <c r="M51" i="1"/>
  <c r="N51" i="1"/>
  <c r="J64" i="1"/>
  <c r="K64" i="1" s="1"/>
  <c r="N96" i="1"/>
  <c r="M96" i="1"/>
  <c r="C121" i="4"/>
  <c r="C152" i="4"/>
  <c r="C25" i="4"/>
  <c r="C153" i="4"/>
  <c r="C66" i="4"/>
  <c r="C99" i="4"/>
  <c r="C59" i="4"/>
  <c r="C14" i="4"/>
  <c r="C40" i="4"/>
  <c r="C111" i="4"/>
  <c r="C166" i="4"/>
  <c r="C87" i="4"/>
  <c r="C163" i="4"/>
  <c r="C34" i="4"/>
  <c r="C115" i="4"/>
  <c r="J70" i="1"/>
  <c r="K70" i="1" s="1"/>
  <c r="J94" i="1"/>
  <c r="L94" i="1" s="1"/>
  <c r="J27" i="1"/>
  <c r="K27" i="1" s="1"/>
  <c r="N6" i="1"/>
  <c r="M6" i="1"/>
  <c r="J97" i="1"/>
  <c r="L97" i="1" s="1"/>
  <c r="J82" i="1"/>
  <c r="K82" i="1" s="1"/>
  <c r="J22" i="1"/>
  <c r="K22" i="1" s="1"/>
  <c r="J17" i="1"/>
  <c r="K17" i="1" s="1"/>
  <c r="M94" i="1"/>
  <c r="N94" i="1"/>
  <c r="J63" i="1"/>
  <c r="L63" i="1" s="1"/>
  <c r="N46" i="1"/>
  <c r="M46" i="1"/>
  <c r="M84" i="1"/>
  <c r="N84" i="1"/>
  <c r="M3" i="1"/>
  <c r="N3" i="1"/>
  <c r="N71" i="1"/>
  <c r="M71" i="1"/>
  <c r="N72" i="1"/>
  <c r="M72" i="1"/>
  <c r="J19" i="1"/>
  <c r="L19" i="1" s="1"/>
  <c r="N90" i="1"/>
  <c r="M90" i="1"/>
  <c r="N42" i="1"/>
  <c r="M42" i="1"/>
  <c r="J15" i="1"/>
  <c r="L15" i="1" s="1"/>
  <c r="N58" i="1"/>
  <c r="M58" i="1"/>
  <c r="J65" i="1"/>
  <c r="L65" i="1" s="1"/>
  <c r="M48" i="1"/>
  <c r="N48" i="1"/>
  <c r="M27" i="1"/>
  <c r="N27" i="1"/>
  <c r="J23" i="1"/>
  <c r="K23" i="1" s="1"/>
  <c r="J91" i="1"/>
  <c r="L91" i="1" s="1"/>
  <c r="M34" i="1"/>
  <c r="N34" i="1"/>
  <c r="J36" i="1"/>
  <c r="L36" i="1" s="1"/>
  <c r="J54" i="1"/>
  <c r="K54" i="1" s="1"/>
  <c r="J73" i="1"/>
  <c r="K73" i="1" s="1"/>
  <c r="J18" i="1"/>
  <c r="L18" i="1" s="1"/>
  <c r="J34" i="1"/>
  <c r="K34" i="1" s="1"/>
  <c r="N21" i="1"/>
  <c r="M21" i="1"/>
  <c r="N11" i="1"/>
  <c r="M11" i="1"/>
  <c r="J5" i="1"/>
  <c r="L5" i="1" s="1"/>
  <c r="J55" i="1"/>
  <c r="L55" i="1" s="1"/>
  <c r="N97" i="1"/>
  <c r="M97" i="1"/>
  <c r="M45" i="1"/>
  <c r="N45" i="1"/>
  <c r="M37" i="1"/>
  <c r="N37" i="1"/>
  <c r="N47" i="1"/>
  <c r="M47" i="1"/>
  <c r="C199" i="4"/>
  <c r="C6" i="4"/>
  <c r="C117" i="4"/>
  <c r="C120" i="4"/>
  <c r="C43" i="4"/>
  <c r="C76" i="4"/>
  <c r="C150" i="4"/>
  <c r="C42" i="4"/>
  <c r="C24" i="4"/>
  <c r="C128" i="4"/>
  <c r="C75" i="4"/>
  <c r="C29" i="4"/>
  <c r="C30" i="4"/>
  <c r="C171" i="4"/>
  <c r="C95" i="4"/>
  <c r="C79" i="4"/>
  <c r="C175" i="4"/>
  <c r="C149" i="4"/>
  <c r="C11" i="4"/>
  <c r="C146" i="4"/>
  <c r="C33" i="4"/>
  <c r="C98" i="4"/>
  <c r="C15" i="4"/>
  <c r="C136" i="4"/>
  <c r="C83" i="4"/>
  <c r="C62" i="4"/>
  <c r="C157" i="4"/>
  <c r="C39" i="4"/>
  <c r="C45" i="4"/>
  <c r="C90" i="4"/>
  <c r="C138" i="4"/>
  <c r="C132" i="4"/>
  <c r="C119" i="4"/>
  <c r="C61" i="4"/>
  <c r="C159" i="4"/>
  <c r="C107" i="4"/>
  <c r="C23" i="4"/>
  <c r="C17" i="4"/>
  <c r="C191" i="4"/>
  <c r="C178" i="4"/>
  <c r="C104" i="4"/>
  <c r="C181" i="4"/>
  <c r="C147" i="4"/>
  <c r="C72" i="4"/>
  <c r="C19" i="4"/>
  <c r="C188" i="4"/>
  <c r="C101" i="4"/>
  <c r="C21" i="4"/>
  <c r="C112" i="4"/>
  <c r="C81" i="4"/>
  <c r="N62" i="1"/>
  <c r="M62" i="1"/>
  <c r="N74" i="1"/>
  <c r="M74" i="1"/>
  <c r="N38" i="1"/>
  <c r="M38" i="1"/>
  <c r="J74" i="1"/>
  <c r="L74" i="1" s="1"/>
  <c r="M50" i="1"/>
  <c r="N50" i="1"/>
  <c r="N82" i="1"/>
  <c r="M82" i="1"/>
  <c r="J21" i="1"/>
  <c r="K21" i="1" s="1"/>
  <c r="M32" i="1"/>
  <c r="N32" i="1"/>
  <c r="N99" i="1"/>
  <c r="M99" i="1"/>
  <c r="N40" i="1"/>
  <c r="M40" i="1"/>
  <c r="N2" i="1"/>
  <c r="M2" i="1"/>
  <c r="J95" i="1"/>
  <c r="L95" i="1" s="1"/>
  <c r="M7" i="1"/>
  <c r="N7" i="1"/>
  <c r="J28" i="1"/>
  <c r="L28" i="1" s="1"/>
  <c r="J4" i="1"/>
  <c r="K4" i="1" s="1"/>
  <c r="M23" i="1"/>
  <c r="N23" i="1"/>
  <c r="J43" i="1"/>
  <c r="L43" i="1" s="1"/>
  <c r="M17" i="1"/>
  <c r="N17" i="1"/>
  <c r="J96" i="1"/>
  <c r="L96" i="1" s="1"/>
  <c r="J57" i="1"/>
  <c r="K57" i="1" s="1"/>
  <c r="M31" i="1"/>
  <c r="N31" i="1"/>
  <c r="M95" i="1"/>
  <c r="N95" i="1"/>
  <c r="J60" i="1"/>
  <c r="K60" i="1" s="1"/>
  <c r="J89" i="1"/>
  <c r="L89" i="1" s="1"/>
  <c r="N14" i="1"/>
  <c r="M14" i="1"/>
  <c r="J84" i="1"/>
  <c r="L84" i="1" s="1"/>
  <c r="M100" i="1"/>
  <c r="N100" i="1"/>
  <c r="M16" i="1"/>
  <c r="N16" i="1"/>
  <c r="J67" i="1"/>
  <c r="K67" i="1" s="1"/>
  <c r="N98" i="1"/>
  <c r="M98" i="1"/>
  <c r="N75" i="1"/>
  <c r="M75" i="1"/>
  <c r="J8" i="1"/>
  <c r="L8" i="1" s="1"/>
  <c r="N60" i="1"/>
  <c r="M60" i="1"/>
  <c r="J42" i="1"/>
  <c r="L42" i="1" s="1"/>
  <c r="M61" i="1"/>
  <c r="N61" i="1"/>
  <c r="J78" i="1"/>
  <c r="K78" i="1" s="1"/>
  <c r="J90" i="1"/>
  <c r="L90" i="1" s="1"/>
  <c r="J29" i="1"/>
  <c r="K29" i="1" s="1"/>
  <c r="J3" i="1"/>
  <c r="L3" i="1" s="1"/>
  <c r="J26" i="1"/>
  <c r="L26" i="1" s="1"/>
  <c r="M18" i="1"/>
  <c r="N18" i="1"/>
  <c r="J79" i="1"/>
  <c r="K79" i="1" s="1"/>
  <c r="J58" i="1"/>
  <c r="K58" i="1" s="1"/>
  <c r="M93" i="1"/>
  <c r="N93" i="1"/>
  <c r="M76" i="1"/>
  <c r="N76" i="1"/>
  <c r="N30" i="1"/>
  <c r="M30" i="1"/>
  <c r="J71" i="1"/>
  <c r="L71" i="1" s="1"/>
  <c r="J7" i="1"/>
  <c r="K7" i="1" s="1"/>
  <c r="J53" i="1"/>
  <c r="K53" i="1" s="1"/>
  <c r="J88" i="1"/>
  <c r="L88" i="1" s="1"/>
  <c r="N80" i="1"/>
  <c r="M80" i="1"/>
  <c r="J76" i="1"/>
  <c r="K76" i="1" s="1"/>
  <c r="N13" i="1"/>
  <c r="M13" i="1"/>
  <c r="N88" i="1"/>
  <c r="M88" i="1"/>
  <c r="M8" i="1"/>
  <c r="N8" i="1"/>
  <c r="J50" i="1"/>
  <c r="K50" i="1" s="1"/>
  <c r="J35" i="1"/>
  <c r="L35" i="1" s="1"/>
  <c r="N54" i="1"/>
  <c r="M54" i="1"/>
  <c r="J52" i="1"/>
  <c r="K52" i="1" s="1"/>
  <c r="J47" i="1"/>
  <c r="L47" i="1" s="1"/>
  <c r="N26" i="1"/>
  <c r="M26" i="1"/>
  <c r="J41" i="1"/>
  <c r="L41" i="1" s="1"/>
  <c r="J51" i="1"/>
  <c r="K51" i="1" s="1"/>
  <c r="C141" i="4"/>
  <c r="C168" i="4"/>
  <c r="C114" i="4"/>
  <c r="C86" i="4"/>
  <c r="C103" i="4"/>
  <c r="C78" i="4"/>
  <c r="C8" i="4"/>
  <c r="C109" i="4"/>
  <c r="C7" i="4"/>
  <c r="C192" i="4"/>
  <c r="C54" i="4"/>
  <c r="C169" i="4"/>
  <c r="C186" i="4"/>
  <c r="C195" i="4"/>
  <c r="C126" i="4"/>
  <c r="C91" i="4"/>
  <c r="C174" i="4"/>
  <c r="C97" i="4"/>
  <c r="C184" i="4"/>
  <c r="C56" i="4"/>
  <c r="C151" i="4"/>
  <c r="C51" i="4"/>
  <c r="C93" i="4"/>
  <c r="C200" i="4"/>
  <c r="C9" i="4"/>
  <c r="C134" i="4"/>
  <c r="C196" i="4"/>
  <c r="C35" i="4"/>
  <c r="C57" i="4"/>
  <c r="C197" i="4"/>
  <c r="C48" i="4"/>
  <c r="C46" i="4"/>
  <c r="C106" i="4"/>
  <c r="C198" i="4"/>
  <c r="C44" i="4"/>
  <c r="C177" i="4"/>
  <c r="C116" i="4"/>
  <c r="C85" i="4"/>
  <c r="C183" i="4"/>
  <c r="C139" i="4"/>
  <c r="C189" i="4"/>
  <c r="C37" i="4"/>
  <c r="C108" i="4"/>
  <c r="C105" i="4"/>
  <c r="C82" i="4"/>
  <c r="C131" i="4"/>
  <c r="C80" i="4"/>
  <c r="C77" i="4"/>
  <c r="C167" i="4"/>
  <c r="C118" i="4"/>
  <c r="J11" i="1"/>
  <c r="L11" i="1" s="1"/>
  <c r="J81" i="1"/>
  <c r="L81" i="1" s="1"/>
  <c r="J77" i="1"/>
  <c r="L77" i="1" s="1"/>
  <c r="M39" i="1"/>
  <c r="N39" i="1"/>
  <c r="M33" i="1"/>
  <c r="N33" i="1"/>
  <c r="N4" i="1"/>
  <c r="M4" i="1"/>
  <c r="J48" i="1"/>
  <c r="L48" i="1" s="1"/>
  <c r="C13" i="4"/>
  <c r="C63" i="4"/>
  <c r="C110" i="4"/>
  <c r="C113" i="4"/>
  <c r="C143" i="4"/>
  <c r="C129" i="4"/>
  <c r="C38" i="4"/>
  <c r="C154" i="4"/>
  <c r="C88" i="4"/>
  <c r="C179" i="4"/>
  <c r="C10" i="4"/>
  <c r="C5" i="4"/>
  <c r="C148" i="4"/>
  <c r="C52" i="4"/>
  <c r="C201" i="4"/>
  <c r="C12" i="4"/>
  <c r="C74" i="4"/>
  <c r="C185" i="4"/>
  <c r="C26" i="4"/>
  <c r="C89" i="4"/>
  <c r="C31" i="4"/>
  <c r="C122" i="4"/>
  <c r="C36" i="4"/>
  <c r="C172" i="4"/>
  <c r="C18" i="4"/>
  <c r="C58" i="4"/>
  <c r="C22" i="4"/>
  <c r="C47" i="4"/>
  <c r="C53" i="4"/>
  <c r="C160" i="4"/>
  <c r="C41" i="4"/>
  <c r="C70" i="4"/>
  <c r="C162" i="4"/>
  <c r="C4" i="4"/>
  <c r="C164" i="4"/>
  <c r="C165" i="4"/>
  <c r="C64" i="4"/>
  <c r="C180" i="4"/>
  <c r="C20" i="4"/>
  <c r="C135" i="4"/>
  <c r="C170" i="4"/>
  <c r="C127" i="4"/>
  <c r="C28" i="4"/>
  <c r="C176" i="4"/>
  <c r="C50" i="4"/>
  <c r="C69" i="4"/>
  <c r="C133" i="4"/>
  <c r="C194" i="4"/>
  <c r="C140" i="4"/>
  <c r="C68" i="4"/>
  <c r="C3" i="4"/>
  <c r="L46" i="1" l="1"/>
  <c r="L59" i="1"/>
  <c r="O60" i="1" s="1"/>
  <c r="P60" i="1" s="1"/>
  <c r="L93" i="1"/>
  <c r="L2" i="1"/>
  <c r="O3" i="1" s="1"/>
  <c r="P3" i="1" s="1"/>
  <c r="L70" i="1"/>
  <c r="L49" i="1"/>
  <c r="O50" i="1" s="1"/>
  <c r="P50" i="1" s="1"/>
  <c r="Q50" i="1" s="1"/>
  <c r="L10" i="1"/>
  <c r="O11" i="1" s="1"/>
  <c r="P11" i="1" s="1"/>
  <c r="L98" i="1"/>
  <c r="O99" i="1" s="1"/>
  <c r="P99" i="1" s="1"/>
  <c r="L45" i="1"/>
  <c r="O46" i="1" s="1"/>
  <c r="P46" i="1" s="1"/>
  <c r="L40" i="1"/>
  <c r="O41" i="1" s="1"/>
  <c r="P41" i="1" s="1"/>
  <c r="L66" i="1"/>
  <c r="O67" i="1" s="1"/>
  <c r="P67" i="1" s="1"/>
  <c r="L17" i="1"/>
  <c r="O18" i="1" s="1"/>
  <c r="P18" i="1" s="1"/>
  <c r="Q18" i="1" s="1"/>
  <c r="L7" i="1"/>
  <c r="L23" i="1"/>
  <c r="O24" i="1" s="1"/>
  <c r="P24" i="1" s="1"/>
  <c r="L87" i="1"/>
  <c r="O88" i="1" s="1"/>
  <c r="P88" i="1" s="1"/>
  <c r="L38" i="1"/>
  <c r="O39" i="1" s="1"/>
  <c r="P39" i="1" s="1"/>
  <c r="K11" i="1"/>
  <c r="O12" i="1" s="1"/>
  <c r="P12" i="1" s="1"/>
  <c r="L78" i="1"/>
  <c r="O79" i="1" s="1"/>
  <c r="P79" i="1" s="1"/>
  <c r="K5" i="1"/>
  <c r="O6" i="1" s="1"/>
  <c r="P6" i="1" s="1"/>
  <c r="K48" i="1"/>
  <c r="O49" i="1" s="1"/>
  <c r="P49" i="1" s="1"/>
  <c r="K90" i="1"/>
  <c r="O91" i="1" s="1"/>
  <c r="P91" i="1" s="1"/>
  <c r="K74" i="1"/>
  <c r="O75" i="1" s="1"/>
  <c r="P75" i="1" s="1"/>
  <c r="L64" i="1"/>
  <c r="O65" i="1" s="1"/>
  <c r="P65" i="1" s="1"/>
  <c r="K63" i="1"/>
  <c r="O64" i="1" s="1"/>
  <c r="P64" i="1" s="1"/>
  <c r="K42" i="1"/>
  <c r="O43" i="1" s="1"/>
  <c r="P43" i="1" s="1"/>
  <c r="K33" i="1"/>
  <c r="L61" i="1"/>
  <c r="O62" i="1" s="1"/>
  <c r="P62" i="1" s="1"/>
  <c r="K47" i="1"/>
  <c r="O48" i="1" s="1"/>
  <c r="P48" i="1" s="1"/>
  <c r="L76" i="1"/>
  <c r="O77" i="1" s="1"/>
  <c r="P77" i="1" s="1"/>
  <c r="L50" i="1"/>
  <c r="O51" i="1" s="1"/>
  <c r="P51" i="1" s="1"/>
  <c r="L57" i="1"/>
  <c r="O58" i="1" s="1"/>
  <c r="P58" i="1" s="1"/>
  <c r="K3" i="1"/>
  <c r="O4" i="1" s="1"/>
  <c r="P4" i="1" s="1"/>
  <c r="Q4" i="1" s="1"/>
  <c r="L30" i="1"/>
  <c r="O31" i="1" s="1"/>
  <c r="P31" i="1" s="1"/>
  <c r="L80" i="1"/>
  <c r="O81" i="1" s="1"/>
  <c r="P81" i="1" s="1"/>
  <c r="K35" i="1"/>
  <c r="O36" i="1" s="1"/>
  <c r="P36" i="1" s="1"/>
  <c r="K88" i="1"/>
  <c r="O89" i="1" s="1"/>
  <c r="P89" i="1" s="1"/>
  <c r="L54" i="1"/>
  <c r="O55" i="1" s="1"/>
  <c r="P55" i="1" s="1"/>
  <c r="L72" i="1"/>
  <c r="O73" i="1" s="1"/>
  <c r="P73" i="1" s="1"/>
  <c r="L37" i="1"/>
  <c r="O38" i="1" s="1"/>
  <c r="P38" i="1" s="1"/>
  <c r="Q38" i="1" s="1"/>
  <c r="L14" i="1"/>
  <c r="O15" i="1" s="1"/>
  <c r="P15" i="1" s="1"/>
  <c r="L21" i="1"/>
  <c r="O22" i="1" s="1"/>
  <c r="P22" i="1" s="1"/>
  <c r="K94" i="1"/>
  <c r="O95" i="1" s="1"/>
  <c r="P95" i="1" s="1"/>
  <c r="L79" i="1"/>
  <c r="O80" i="1" s="1"/>
  <c r="P80" i="1" s="1"/>
  <c r="K77" i="1"/>
  <c r="O78" i="1" s="1"/>
  <c r="P78" i="1" s="1"/>
  <c r="K81" i="1"/>
  <c r="O82" i="1" s="1"/>
  <c r="P82" i="1" s="1"/>
  <c r="L34" i="1"/>
  <c r="O35" i="1" s="1"/>
  <c r="P35" i="1" s="1"/>
  <c r="L75" i="1"/>
  <c r="O76" i="1" s="1"/>
  <c r="P76" i="1" s="1"/>
  <c r="L52" i="1"/>
  <c r="O53" i="1" s="1"/>
  <c r="P53" i="1" s="1"/>
  <c r="L83" i="1"/>
  <c r="O84" i="1" s="1"/>
  <c r="P84" i="1" s="1"/>
  <c r="L56" i="1"/>
  <c r="O57" i="1" s="1"/>
  <c r="P57" i="1" s="1"/>
  <c r="K28" i="1"/>
  <c r="O29" i="1" s="1"/>
  <c r="P29" i="1" s="1"/>
  <c r="K95" i="1"/>
  <c r="O96" i="1" s="1"/>
  <c r="P96" i="1" s="1"/>
  <c r="L53" i="1"/>
  <c r="O54" i="1" s="1"/>
  <c r="P54" i="1" s="1"/>
  <c r="L16" i="1"/>
  <c r="O17" i="1" s="1"/>
  <c r="P17" i="1" s="1"/>
  <c r="L69" i="1"/>
  <c r="O70" i="1" s="1"/>
  <c r="P70" i="1" s="1"/>
  <c r="L85" i="1"/>
  <c r="O86" i="1" s="1"/>
  <c r="P86" i="1" s="1"/>
  <c r="L92" i="1"/>
  <c r="O93" i="1" s="1"/>
  <c r="P93" i="1" s="1"/>
  <c r="K13" i="1"/>
  <c r="O14" i="1" s="1"/>
  <c r="P14" i="1" s="1"/>
  <c r="Q14" i="1" s="1"/>
  <c r="L39" i="1"/>
  <c r="O40" i="1" s="1"/>
  <c r="P40" i="1" s="1"/>
  <c r="Q40" i="1" s="1"/>
  <c r="L58" i="1"/>
  <c r="O59" i="1" s="1"/>
  <c r="P59" i="1" s="1"/>
  <c r="K26" i="1"/>
  <c r="O27" i="1" s="1"/>
  <c r="P27" i="1" s="1"/>
  <c r="L22" i="1"/>
  <c r="O23" i="1" s="1"/>
  <c r="P23" i="1" s="1"/>
  <c r="L68" i="1"/>
  <c r="O69" i="1" s="1"/>
  <c r="P69" i="1" s="1"/>
  <c r="K9" i="1"/>
  <c r="O10" i="1" s="1"/>
  <c r="P10" i="1" s="1"/>
  <c r="K71" i="1"/>
  <c r="O72" i="1" s="1"/>
  <c r="P72" i="1" s="1"/>
  <c r="K84" i="1"/>
  <c r="O85" i="1" s="1"/>
  <c r="P85" i="1" s="1"/>
  <c r="K91" i="1"/>
  <c r="O92" i="1" s="1"/>
  <c r="P92" i="1" s="1"/>
  <c r="L99" i="1"/>
  <c r="O100" i="1" s="1"/>
  <c r="P100" i="1" s="1"/>
  <c r="L4" i="1"/>
  <c r="O5" i="1" s="1"/>
  <c r="P5" i="1" s="1"/>
  <c r="L31" i="1"/>
  <c r="O32" i="1" s="1"/>
  <c r="P32" i="1" s="1"/>
  <c r="L67" i="1"/>
  <c r="O68" i="1" s="1"/>
  <c r="P68" i="1" s="1"/>
  <c r="L60" i="1"/>
  <c r="O61" i="1" s="1"/>
  <c r="P61" i="1" s="1"/>
  <c r="O71" i="1"/>
  <c r="P71" i="1" s="1"/>
  <c r="L82" i="1"/>
  <c r="O83" i="1" s="1"/>
  <c r="P83" i="1" s="1"/>
  <c r="L51" i="1"/>
  <c r="O52" i="1" s="1"/>
  <c r="P52" i="1" s="1"/>
  <c r="K8" i="1"/>
  <c r="O9" i="1" s="1"/>
  <c r="P9" i="1" s="1"/>
  <c r="K89" i="1"/>
  <c r="O90" i="1" s="1"/>
  <c r="P90" i="1" s="1"/>
  <c r="K43" i="1"/>
  <c r="O44" i="1" s="1"/>
  <c r="P44" i="1" s="1"/>
  <c r="O8" i="1"/>
  <c r="P8" i="1" s="1"/>
  <c r="L73" i="1"/>
  <c r="O74" i="1" s="1"/>
  <c r="P74" i="1" s="1"/>
  <c r="K15" i="1"/>
  <c r="O16" i="1" s="1"/>
  <c r="P16" i="1" s="1"/>
  <c r="O47" i="1"/>
  <c r="P47" i="1" s="1"/>
  <c r="K97" i="1"/>
  <c r="O98" i="1" s="1"/>
  <c r="P98" i="1" s="1"/>
  <c r="K86" i="1"/>
  <c r="O87" i="1" s="1"/>
  <c r="P87" i="1" s="1"/>
  <c r="K24" i="1"/>
  <c r="O25" i="1" s="1"/>
  <c r="P25" i="1" s="1"/>
  <c r="K32" i="1"/>
  <c r="O33" i="1" s="1"/>
  <c r="P33" i="1" s="1"/>
  <c r="L29" i="1"/>
  <c r="O30" i="1" s="1"/>
  <c r="P30" i="1" s="1"/>
  <c r="O94" i="1"/>
  <c r="P94" i="1" s="1"/>
  <c r="O34" i="1"/>
  <c r="P34" i="1" s="1"/>
  <c r="K41" i="1"/>
  <c r="O42" i="1" s="1"/>
  <c r="P42" i="1" s="1"/>
  <c r="L6" i="1"/>
  <c r="O7" i="1" s="1"/>
  <c r="P7" i="1" s="1"/>
  <c r="L25" i="1"/>
  <c r="O26" i="1" s="1"/>
  <c r="P26" i="1" s="1"/>
  <c r="K96" i="1"/>
  <c r="O97" i="1" s="1"/>
  <c r="P97" i="1" s="1"/>
  <c r="L27" i="1"/>
  <c r="O28" i="1" s="1"/>
  <c r="P28" i="1" s="1"/>
  <c r="K55" i="1"/>
  <c r="O56" i="1" s="1"/>
  <c r="P56" i="1" s="1"/>
  <c r="K18" i="1"/>
  <c r="O19" i="1" s="1"/>
  <c r="P19" i="1" s="1"/>
  <c r="K65" i="1"/>
  <c r="O66" i="1" s="1"/>
  <c r="P66" i="1" s="1"/>
  <c r="K100" i="1"/>
  <c r="K20" i="1"/>
  <c r="O21" i="1" s="1"/>
  <c r="P21" i="1" s="1"/>
  <c r="K62" i="1"/>
  <c r="O63" i="1" s="1"/>
  <c r="P63" i="1" s="1"/>
  <c r="K36" i="1"/>
  <c r="O37" i="1" s="1"/>
  <c r="P37" i="1" s="1"/>
  <c r="K19" i="1"/>
  <c r="O20" i="1" s="1"/>
  <c r="P20" i="1" s="1"/>
  <c r="O13" i="1"/>
  <c r="P13" i="1" s="1"/>
  <c r="K44" i="1"/>
  <c r="O45" i="1" s="1"/>
  <c r="P45" i="1" s="1"/>
  <c r="Q45" i="1" l="1"/>
  <c r="S45" i="1" s="1"/>
  <c r="Q97" i="1"/>
  <c r="S97" i="1" s="1"/>
  <c r="Q56" i="1"/>
  <c r="S56" i="1" s="1"/>
  <c r="Q20" i="1"/>
  <c r="Q42" i="1"/>
  <c r="S42" i="1" s="1"/>
  <c r="Q7" i="1"/>
  <c r="Q21" i="1"/>
  <c r="S21" i="1" s="1"/>
  <c r="Q30" i="1"/>
  <c r="Q44" i="1"/>
  <c r="S44" i="1" s="1"/>
  <c r="Q9" i="1"/>
  <c r="Q32" i="1"/>
  <c r="S32" i="1" s="1"/>
  <c r="Q28" i="1"/>
  <c r="S28" i="1" s="1"/>
  <c r="Q39" i="1"/>
  <c r="S38" i="1"/>
  <c r="R38" i="1" s="1"/>
  <c r="Q54" i="1"/>
  <c r="Q88" i="1"/>
  <c r="S88" i="1" s="1"/>
  <c r="Q100" i="1"/>
  <c r="Q13" i="1"/>
  <c r="Q95" i="1"/>
  <c r="S95" i="1" s="1"/>
  <c r="Q51" i="1"/>
  <c r="S51" i="1" s="1"/>
  <c r="S50" i="1"/>
  <c r="R50" i="1" s="1"/>
  <c r="Q33" i="1"/>
  <c r="S33" i="1" s="1"/>
  <c r="Q11" i="1"/>
  <c r="S11" i="1" s="1"/>
  <c r="Q10" i="1"/>
  <c r="S10" i="1" s="1"/>
  <c r="Q26" i="1"/>
  <c r="Q62" i="1"/>
  <c r="S62" i="1" s="1"/>
  <c r="Q89" i="1"/>
  <c r="Q87" i="1"/>
  <c r="S87" i="1" s="1"/>
  <c r="Q78" i="1"/>
  <c r="Q83" i="1"/>
  <c r="S83" i="1" s="1"/>
  <c r="Q93" i="1"/>
  <c r="S93" i="1" s="1"/>
  <c r="Q47" i="1"/>
  <c r="S47" i="1" s="1"/>
  <c r="Q49" i="1"/>
  <c r="Q3" i="1"/>
  <c r="S2" i="1"/>
  <c r="Q81" i="1"/>
  <c r="S81" i="1" s="1"/>
  <c r="Q66" i="1"/>
  <c r="Q23" i="1"/>
  <c r="S23" i="1" s="1"/>
  <c r="Q98" i="1"/>
  <c r="S98" i="1" s="1"/>
  <c r="Q27" i="1"/>
  <c r="Q60" i="1"/>
  <c r="S60" i="1" s="1"/>
  <c r="Q43" i="1"/>
  <c r="Q61" i="1"/>
  <c r="Q79" i="1"/>
  <c r="Q94" i="1"/>
  <c r="Q91" i="1"/>
  <c r="Q65" i="1"/>
  <c r="S65" i="1" s="1"/>
  <c r="Q70" i="1"/>
  <c r="S70" i="1" s="1"/>
  <c r="Q35" i="1"/>
  <c r="Q31" i="1"/>
  <c r="Q29" i="1"/>
  <c r="S29" i="1" s="1"/>
  <c r="Q57" i="1"/>
  <c r="S57" i="1" s="1"/>
  <c r="Q52" i="1"/>
  <c r="S52" i="1" s="1"/>
  <c r="Q72" i="1"/>
  <c r="S72" i="1" s="1"/>
  <c r="Q41" i="1"/>
  <c r="S40" i="1"/>
  <c r="R40" i="1" s="1"/>
  <c r="Q19" i="1"/>
  <c r="S18" i="1"/>
  <c r="R18" i="1" s="1"/>
  <c r="Q82" i="1"/>
  <c r="Q67" i="1"/>
  <c r="Q80" i="1"/>
  <c r="S80" i="1" s="1"/>
  <c r="Q90" i="1"/>
  <c r="Q58" i="1"/>
  <c r="Q64" i="1"/>
  <c r="S64" i="1" s="1"/>
  <c r="Q73" i="1"/>
  <c r="Q22" i="1"/>
  <c r="Q75" i="1"/>
  <c r="Q8" i="1"/>
  <c r="S8" i="1" s="1"/>
  <c r="Q15" i="1"/>
  <c r="S15" i="1" s="1"/>
  <c r="S14" i="1"/>
  <c r="R14" i="1" s="1"/>
  <c r="Q86" i="1"/>
  <c r="S86" i="1" s="1"/>
  <c r="Q74" i="1"/>
  <c r="Q16" i="1"/>
  <c r="S16" i="1" s="1"/>
  <c r="Q76" i="1"/>
  <c r="Q5" i="1"/>
  <c r="S5" i="1" s="1"/>
  <c r="S4" i="1"/>
  <c r="R4" i="1" s="1"/>
  <c r="Q46" i="1"/>
  <c r="Q92" i="1"/>
  <c r="S92" i="1" s="1"/>
  <c r="Q36" i="1"/>
  <c r="Q53" i="1"/>
  <c r="Q59" i="1"/>
  <c r="Q37" i="1"/>
  <c r="Q68" i="1"/>
  <c r="S68" i="1" s="1"/>
  <c r="Q12" i="1"/>
  <c r="S12" i="1" s="1"/>
  <c r="Q63" i="1"/>
  <c r="Q17" i="1"/>
  <c r="Q55" i="1"/>
  <c r="Q25" i="1"/>
  <c r="S25" i="1" s="1"/>
  <c r="Q96" i="1"/>
  <c r="Q77" i="1"/>
  <c r="S77" i="1" s="1"/>
  <c r="Q34" i="1"/>
  <c r="Q84" i="1"/>
  <c r="S84" i="1" s="1"/>
  <c r="Q6" i="1"/>
  <c r="S6" i="1" s="1"/>
  <c r="Q69" i="1"/>
  <c r="Q48" i="1"/>
  <c r="S48" i="1" s="1"/>
  <c r="Q24" i="1"/>
  <c r="Q99" i="1"/>
  <c r="Q71" i="1"/>
  <c r="Q85" i="1"/>
  <c r="S85" i="1" s="1"/>
  <c r="R68" i="1" l="1"/>
  <c r="S74" i="1"/>
  <c r="R74" i="1" s="1"/>
  <c r="R72" i="1"/>
  <c r="R57" i="1"/>
  <c r="R70" i="1"/>
  <c r="R23" i="1"/>
  <c r="S100" i="1"/>
  <c r="R100" i="1" s="1"/>
  <c r="S27" i="1"/>
  <c r="R27" i="1" s="1"/>
  <c r="S19" i="1"/>
  <c r="R19" i="1" s="1"/>
  <c r="S96" i="1"/>
  <c r="R96" i="1" s="1"/>
  <c r="S76" i="1"/>
  <c r="R76" i="1" s="1"/>
  <c r="S24" i="1"/>
  <c r="R24" i="1" s="1"/>
  <c r="S36" i="1"/>
  <c r="R36" i="1" s="1"/>
  <c r="S91" i="1"/>
  <c r="R91" i="1" s="1"/>
  <c r="R15" i="1"/>
  <c r="S79" i="1"/>
  <c r="R79" i="1" s="1"/>
  <c r="S34" i="1"/>
  <c r="R34" i="1" s="1"/>
  <c r="S59" i="1"/>
  <c r="R59" i="1" s="1"/>
  <c r="R81" i="1"/>
  <c r="S49" i="1"/>
  <c r="R49" i="1" s="1"/>
  <c r="R93" i="1"/>
  <c r="R11" i="1"/>
  <c r="R51" i="1"/>
  <c r="S13" i="1"/>
  <c r="R13" i="1" s="1"/>
  <c r="R28" i="1"/>
  <c r="R97" i="1"/>
  <c r="R84" i="1"/>
  <c r="R77" i="1"/>
  <c r="R25" i="1"/>
  <c r="S17" i="1"/>
  <c r="R17" i="1" s="1"/>
  <c r="R12" i="1"/>
  <c r="S37" i="1"/>
  <c r="R37" i="1" s="1"/>
  <c r="R92" i="1"/>
  <c r="R5" i="1"/>
  <c r="R16" i="1"/>
  <c r="S7" i="1"/>
  <c r="S63" i="1"/>
  <c r="R63" i="1" s="1"/>
  <c r="S89" i="1"/>
  <c r="R89" i="1" s="1"/>
  <c r="R80" i="1"/>
  <c r="R52" i="1"/>
  <c r="R29" i="1"/>
  <c r="R65" i="1"/>
  <c r="R60" i="1"/>
  <c r="R98" i="1"/>
  <c r="R2" i="1"/>
  <c r="S46" i="1"/>
  <c r="R46" i="1" s="1"/>
  <c r="S82" i="1"/>
  <c r="R82" i="1" s="1"/>
  <c r="S61" i="1"/>
  <c r="R61" i="1" s="1"/>
  <c r="S9" i="1"/>
  <c r="R9" i="1" s="1"/>
  <c r="S94" i="1"/>
  <c r="R94" i="1" s="1"/>
  <c r="R88" i="1"/>
  <c r="S31" i="1"/>
  <c r="R31" i="1" s="1"/>
  <c r="S43" i="1"/>
  <c r="R43" i="1" s="1"/>
  <c r="S20" i="1"/>
  <c r="R20" i="1" s="1"/>
  <c r="S41" i="1"/>
  <c r="R41" i="1" s="1"/>
  <c r="S55" i="1"/>
  <c r="R55" i="1" s="1"/>
  <c r="R85" i="1"/>
  <c r="R48" i="1"/>
  <c r="R6" i="1"/>
  <c r="S54" i="1"/>
  <c r="R54" i="1" s="1"/>
  <c r="S67" i="1"/>
  <c r="R67" i="1" s="1"/>
  <c r="S58" i="1"/>
  <c r="R58" i="1" s="1"/>
  <c r="S35" i="1"/>
  <c r="R35" i="1" s="1"/>
  <c r="S75" i="1"/>
  <c r="R75" i="1" s="1"/>
  <c r="S73" i="1"/>
  <c r="R73" i="1" s="1"/>
  <c r="R86" i="1"/>
  <c r="R8" i="1"/>
  <c r="R64" i="1"/>
  <c r="S66" i="1"/>
  <c r="R66" i="1" s="1"/>
  <c r="S71" i="1"/>
  <c r="R71" i="1" s="1"/>
  <c r="S30" i="1"/>
  <c r="R30" i="1" s="1"/>
  <c r="S69" i="1"/>
  <c r="R69" i="1" s="1"/>
  <c r="S90" i="1"/>
  <c r="R90" i="1" s="1"/>
  <c r="S78" i="1"/>
  <c r="R78" i="1" s="1"/>
  <c r="S26" i="1"/>
  <c r="R26" i="1" s="1"/>
  <c r="S22" i="1"/>
  <c r="R22" i="1" s="1"/>
  <c r="S3" i="1"/>
  <c r="R47" i="1"/>
  <c r="R83" i="1"/>
  <c r="R87" i="1"/>
  <c r="R62" i="1"/>
  <c r="R10" i="1"/>
  <c r="R33" i="1"/>
  <c r="R95" i="1"/>
  <c r="S99" i="1"/>
  <c r="R99" i="1" s="1"/>
  <c r="S53" i="1"/>
  <c r="R53" i="1" s="1"/>
  <c r="S39" i="1"/>
  <c r="R39" i="1" s="1"/>
  <c r="R32" i="1"/>
  <c r="R44" i="1"/>
  <c r="R21" i="1"/>
  <c r="R42" i="1"/>
  <c r="R56" i="1"/>
  <c r="R45" i="1"/>
  <c r="R7" i="1" l="1"/>
  <c r="R3" i="1"/>
  <c r="E76" i="4" l="1"/>
  <c r="E32" i="4"/>
  <c r="E133" i="4"/>
  <c r="G56" i="7"/>
  <c r="G59" i="7"/>
  <c r="E42" i="4"/>
  <c r="D106" i="4"/>
  <c r="E114" i="4"/>
  <c r="D79" i="4"/>
  <c r="D152" i="4"/>
  <c r="H149" i="4"/>
  <c r="G139" i="4"/>
  <c r="E91" i="4"/>
  <c r="I94" i="4"/>
  <c r="I12" i="4"/>
  <c r="H179" i="4"/>
  <c r="H99" i="4"/>
  <c r="E116" i="4"/>
  <c r="H34" i="4"/>
  <c r="H71" i="4"/>
  <c r="I68" i="4"/>
  <c r="J23" i="4"/>
  <c r="G89" i="4"/>
  <c r="G68" i="4"/>
  <c r="E186" i="4"/>
  <c r="G159" i="4"/>
  <c r="I69" i="4"/>
  <c r="E138" i="4"/>
  <c r="H72" i="4"/>
  <c r="E2" i="4"/>
  <c r="D94" i="4"/>
  <c r="D175" i="4"/>
  <c r="H48" i="4"/>
  <c r="G170" i="4"/>
  <c r="G91" i="4"/>
  <c r="G176" i="4"/>
  <c r="E94" i="4"/>
  <c r="J58" i="4"/>
  <c r="E63" i="4"/>
  <c r="D126" i="4"/>
  <c r="I178" i="4"/>
  <c r="E170" i="4"/>
  <c r="E165" i="4"/>
  <c r="E46" i="4"/>
  <c r="I139" i="4"/>
  <c r="H144" i="4"/>
  <c r="H25" i="4"/>
  <c r="F63" i="7"/>
  <c r="E9" i="4"/>
  <c r="D176" i="4"/>
  <c r="D17" i="4"/>
  <c r="I187" i="4"/>
  <c r="G92" i="4"/>
  <c r="E100" i="4"/>
  <c r="I171" i="4"/>
  <c r="G92" i="7"/>
  <c r="H39" i="7"/>
  <c r="H46" i="4"/>
  <c r="D50" i="4"/>
  <c r="D9" i="4"/>
  <c r="D11" i="4"/>
  <c r="H23" i="4"/>
  <c r="E41" i="4"/>
  <c r="H62" i="7"/>
  <c r="H198" i="4"/>
  <c r="I161" i="4"/>
  <c r="I184" i="4"/>
  <c r="H81" i="7"/>
  <c r="G151" i="4"/>
  <c r="E26" i="4"/>
  <c r="I72" i="4"/>
  <c r="F38" i="7"/>
  <c r="H8" i="7"/>
  <c r="J48" i="4"/>
  <c r="G147" i="4"/>
  <c r="D96" i="4"/>
  <c r="I112" i="4"/>
  <c r="D192" i="4"/>
  <c r="I82" i="4"/>
  <c r="H93" i="4"/>
  <c r="H37" i="7"/>
  <c r="D194" i="4"/>
  <c r="H30" i="7"/>
  <c r="G129" i="4"/>
  <c r="E194" i="4"/>
  <c r="H2" i="7"/>
  <c r="G15" i="4"/>
  <c r="E107" i="4"/>
  <c r="G143" i="4"/>
  <c r="I35" i="4"/>
  <c r="F6" i="7"/>
  <c r="J131" i="4"/>
  <c r="I53" i="4"/>
  <c r="J68" i="4"/>
  <c r="H29" i="4"/>
  <c r="G82" i="4"/>
  <c r="H195" i="4"/>
  <c r="I5" i="4"/>
  <c r="G63" i="7"/>
  <c r="G135" i="4"/>
  <c r="G85" i="7"/>
  <c r="I154" i="4"/>
  <c r="D118" i="4"/>
  <c r="H13" i="4"/>
  <c r="I17" i="4"/>
  <c r="G31" i="7"/>
  <c r="J112" i="4"/>
  <c r="I65" i="4"/>
  <c r="H159" i="4"/>
  <c r="G97" i="4"/>
  <c r="E90" i="4"/>
  <c r="F62" i="7"/>
  <c r="D70" i="4"/>
  <c r="E183" i="4"/>
  <c r="D73" i="4"/>
  <c r="G75" i="4"/>
  <c r="I2" i="4"/>
  <c r="G101" i="4"/>
  <c r="E111" i="4"/>
  <c r="E8" i="4"/>
  <c r="H125" i="4"/>
  <c r="J89" i="4"/>
  <c r="I147" i="4"/>
  <c r="G70" i="4"/>
  <c r="D149" i="4"/>
  <c r="H54" i="4"/>
  <c r="H66" i="7"/>
  <c r="E37" i="4"/>
  <c r="H119" i="4"/>
  <c r="H96" i="4"/>
  <c r="G195" i="4"/>
  <c r="I54" i="4"/>
  <c r="H184" i="4"/>
  <c r="D144" i="4"/>
  <c r="J6" i="4"/>
  <c r="E125" i="4"/>
  <c r="D182" i="4"/>
  <c r="H17" i="7"/>
  <c r="J70" i="4"/>
  <c r="J92" i="4"/>
  <c r="E174" i="4"/>
  <c r="H65" i="4"/>
  <c r="G163" i="4"/>
  <c r="G199" i="4"/>
  <c r="H58" i="4"/>
  <c r="H55" i="7"/>
  <c r="G73" i="4"/>
  <c r="J111" i="4"/>
  <c r="E142" i="4"/>
  <c r="I140" i="4"/>
  <c r="H22" i="4"/>
  <c r="H131" i="4"/>
  <c r="D193" i="4"/>
  <c r="I76" i="4"/>
  <c r="H109" i="4"/>
  <c r="J3" i="4"/>
  <c r="H105" i="4"/>
  <c r="F98" i="7"/>
  <c r="G138" i="4"/>
  <c r="D10" i="4"/>
  <c r="D28" i="4"/>
  <c r="J95" i="4"/>
  <c r="H161" i="4"/>
  <c r="H52" i="4"/>
  <c r="D86" i="4"/>
  <c r="H18" i="4"/>
  <c r="J129" i="4"/>
  <c r="E184" i="4"/>
  <c r="G69" i="7"/>
  <c r="J109" i="4"/>
  <c r="D136" i="4"/>
  <c r="H28" i="7"/>
  <c r="J156" i="4"/>
  <c r="E12" i="4"/>
  <c r="I23" i="4"/>
  <c r="G188" i="4"/>
  <c r="F55" i="7"/>
  <c r="F92" i="7"/>
  <c r="I99" i="4"/>
  <c r="G81" i="4"/>
  <c r="G122" i="4"/>
  <c r="I175" i="4"/>
  <c r="J81" i="4"/>
  <c r="H54" i="7"/>
  <c r="G39" i="7"/>
  <c r="G167" i="4"/>
  <c r="G168" i="4"/>
  <c r="I78" i="4"/>
  <c r="J119" i="4"/>
  <c r="I98" i="4"/>
  <c r="J69" i="4"/>
  <c r="F86" i="7"/>
  <c r="I189" i="4"/>
  <c r="H62" i="4"/>
  <c r="H77" i="4"/>
  <c r="J197" i="4"/>
  <c r="G36" i="7"/>
  <c r="H7" i="4"/>
  <c r="E3" i="4"/>
  <c r="J148" i="4"/>
  <c r="I75" i="4"/>
  <c r="J2" i="4"/>
  <c r="E131" i="4"/>
  <c r="E57" i="4"/>
  <c r="H10" i="4"/>
  <c r="H77" i="7"/>
  <c r="G58" i="7"/>
  <c r="H201" i="4"/>
  <c r="F83" i="7"/>
  <c r="G25" i="7"/>
  <c r="E113" i="4"/>
  <c r="I141" i="4"/>
  <c r="H43" i="4"/>
  <c r="J107" i="4"/>
  <c r="I148" i="4"/>
  <c r="E50" i="4"/>
  <c r="F4" i="7"/>
  <c r="H74" i="7"/>
  <c r="G171" i="4"/>
  <c r="E137" i="4"/>
  <c r="H42" i="7"/>
  <c r="H89" i="7"/>
  <c r="E190" i="4"/>
  <c r="H19" i="4"/>
  <c r="D187" i="4"/>
  <c r="F11" i="7"/>
  <c r="G6" i="4"/>
  <c r="J153" i="4"/>
  <c r="H160" i="4"/>
  <c r="H130" i="4"/>
  <c r="E201" i="4"/>
  <c r="D150" i="4"/>
  <c r="H60" i="7"/>
  <c r="I132" i="4"/>
  <c r="E73" i="4"/>
  <c r="E14" i="4"/>
  <c r="I41" i="4"/>
  <c r="D23" i="4"/>
  <c r="H60" i="4"/>
  <c r="H65" i="7"/>
  <c r="F68" i="7"/>
  <c r="H86" i="7"/>
  <c r="J49" i="4"/>
  <c r="G80" i="4"/>
  <c r="J10" i="4"/>
  <c r="G161" i="4"/>
  <c r="H110" i="4"/>
  <c r="E155" i="4"/>
  <c r="D18" i="4"/>
  <c r="J77" i="4"/>
  <c r="I170" i="4"/>
  <c r="H33" i="4"/>
  <c r="H28" i="4"/>
  <c r="H8" i="4"/>
  <c r="I63" i="4"/>
  <c r="H19" i="7"/>
  <c r="D62" i="4"/>
  <c r="H137" i="4"/>
  <c r="J140" i="4"/>
  <c r="H98" i="7"/>
  <c r="F36" i="7"/>
  <c r="I22" i="4"/>
  <c r="H14" i="4"/>
  <c r="H164" i="4"/>
  <c r="J22" i="4"/>
  <c r="D153" i="4"/>
  <c r="J121" i="4"/>
  <c r="I43" i="4"/>
  <c r="G73" i="7"/>
  <c r="G126" i="4"/>
  <c r="I159" i="4"/>
  <c r="I160" i="4"/>
  <c r="H120" i="4"/>
  <c r="H47" i="4"/>
  <c r="J151" i="4"/>
  <c r="H187" i="4"/>
  <c r="J155" i="4"/>
  <c r="E120" i="4"/>
  <c r="E141" i="4"/>
  <c r="H27" i="7"/>
  <c r="H10" i="7"/>
  <c r="J51" i="4"/>
  <c r="J73" i="4"/>
  <c r="J72" i="4"/>
  <c r="H82" i="4"/>
  <c r="J66" i="4"/>
  <c r="H101" i="7"/>
  <c r="J170" i="4"/>
  <c r="G50" i="7"/>
  <c r="E106" i="4"/>
  <c r="D51" i="4"/>
  <c r="E192" i="4"/>
  <c r="F14" i="7"/>
  <c r="H108" i="4"/>
  <c r="G30" i="7"/>
  <c r="H84" i="4"/>
  <c r="J186" i="4"/>
  <c r="H145" i="4"/>
  <c r="G78" i="7"/>
  <c r="I163" i="4"/>
  <c r="D121" i="4"/>
  <c r="I150" i="4"/>
  <c r="J64" i="4"/>
  <c r="H27" i="4"/>
  <c r="E15" i="4"/>
  <c r="D84" i="4"/>
  <c r="I190" i="4"/>
  <c r="F45" i="7"/>
  <c r="H40" i="4"/>
  <c r="G158" i="4"/>
  <c r="G93" i="4"/>
  <c r="H68" i="7"/>
  <c r="H92" i="4"/>
  <c r="I165" i="4"/>
  <c r="G5" i="4"/>
  <c r="G175" i="4"/>
  <c r="J193" i="4"/>
  <c r="D133" i="4"/>
  <c r="G109" i="4"/>
  <c r="H146" i="4"/>
  <c r="G4" i="4"/>
  <c r="J59" i="4"/>
  <c r="G153" i="4"/>
  <c r="J56" i="4"/>
  <c r="J185" i="4"/>
  <c r="D199" i="4"/>
  <c r="G71" i="7"/>
  <c r="D171" i="4"/>
  <c r="E64" i="4"/>
  <c r="F33" i="7"/>
  <c r="F8" i="7"/>
  <c r="D107" i="4"/>
  <c r="J165" i="4"/>
  <c r="G66" i="7"/>
  <c r="F89" i="7"/>
  <c r="D44" i="4"/>
  <c r="J147" i="4"/>
  <c r="G154" i="4"/>
  <c r="G52" i="4"/>
  <c r="G51" i="4"/>
  <c r="D69" i="4"/>
  <c r="E152" i="4"/>
  <c r="I125" i="4"/>
  <c r="J164" i="4"/>
  <c r="D60" i="4"/>
  <c r="D36" i="4"/>
  <c r="G99" i="4"/>
  <c r="D98" i="4"/>
  <c r="I21" i="4"/>
  <c r="J202" i="4"/>
  <c r="D75" i="4"/>
  <c r="G86" i="4"/>
  <c r="G51" i="7"/>
  <c r="J88" i="4"/>
  <c r="H155" i="4"/>
  <c r="J105" i="4"/>
  <c r="F67" i="7"/>
  <c r="G107" i="4"/>
  <c r="G60" i="7"/>
  <c r="I104" i="4"/>
  <c r="J123" i="4"/>
  <c r="E179" i="4"/>
  <c r="H48" i="7"/>
  <c r="I55" i="4"/>
  <c r="I47" i="4"/>
  <c r="D135" i="4"/>
  <c r="D198" i="4"/>
  <c r="H114" i="4"/>
  <c r="G82" i="7"/>
  <c r="I152" i="4"/>
  <c r="D173" i="4"/>
  <c r="D170" i="4"/>
  <c r="J172" i="4"/>
  <c r="E60" i="4"/>
  <c r="D117" i="4"/>
  <c r="D151" i="4"/>
  <c r="D93" i="4"/>
  <c r="F101" i="7"/>
  <c r="J85" i="4"/>
  <c r="J124" i="4"/>
  <c r="E29" i="4"/>
  <c r="F42" i="7"/>
  <c r="D131" i="4"/>
  <c r="G44" i="4"/>
  <c r="G108" i="4"/>
  <c r="D115" i="4"/>
  <c r="E86" i="4"/>
  <c r="I77" i="4"/>
  <c r="I106" i="4"/>
  <c r="D59" i="4"/>
  <c r="I173" i="4"/>
  <c r="J192" i="4"/>
  <c r="G14" i="4"/>
  <c r="D101" i="4"/>
  <c r="D169" i="4"/>
  <c r="E181" i="4"/>
  <c r="J116" i="4"/>
  <c r="G3" i="7"/>
  <c r="G18" i="7"/>
  <c r="E69" i="4"/>
  <c r="G11" i="4"/>
  <c r="H141" i="4"/>
  <c r="H83" i="7"/>
  <c r="J159" i="4"/>
  <c r="F2" i="7"/>
  <c r="G56" i="4"/>
  <c r="G166" i="4"/>
  <c r="D53" i="4"/>
  <c r="I142" i="4"/>
  <c r="J199" i="4"/>
  <c r="J142" i="4"/>
  <c r="I97" i="4"/>
  <c r="G33" i="4"/>
  <c r="G156" i="4"/>
  <c r="E101" i="4"/>
  <c r="J166" i="4"/>
  <c r="H69" i="7"/>
  <c r="F35" i="7"/>
  <c r="D177" i="4"/>
  <c r="J99" i="4"/>
  <c r="J21" i="4"/>
  <c r="G114" i="4"/>
  <c r="D82" i="4"/>
  <c r="I40" i="4"/>
  <c r="I11" i="4"/>
  <c r="G174" i="4"/>
  <c r="H148" i="4"/>
  <c r="G61" i="4"/>
  <c r="G125" i="4"/>
  <c r="D111" i="4"/>
  <c r="J62" i="4"/>
  <c r="D80" i="4"/>
  <c r="E58" i="4"/>
  <c r="I57" i="4"/>
  <c r="H23" i="7"/>
  <c r="E129" i="4"/>
  <c r="D25" i="4"/>
  <c r="G133" i="4"/>
  <c r="G19" i="4"/>
  <c r="I52" i="4"/>
  <c r="H123" i="4"/>
  <c r="J12" i="4"/>
  <c r="H49" i="7"/>
  <c r="G127" i="4"/>
  <c r="G16" i="7"/>
  <c r="E158" i="4"/>
  <c r="G17" i="7"/>
  <c r="D58" i="4"/>
  <c r="E121" i="4"/>
  <c r="F46" i="7"/>
  <c r="H44" i="7"/>
  <c r="I185" i="4"/>
  <c r="G58" i="4"/>
  <c r="F69" i="7"/>
  <c r="G93" i="7"/>
  <c r="E28" i="4"/>
  <c r="G38" i="7"/>
  <c r="J132" i="4"/>
  <c r="E148" i="4"/>
  <c r="H4" i="7"/>
  <c r="G66" i="4"/>
  <c r="D81" i="4"/>
  <c r="G6" i="7"/>
  <c r="G132" i="4"/>
  <c r="J60" i="4"/>
  <c r="D165" i="4"/>
  <c r="G193" i="4"/>
  <c r="E150" i="4"/>
  <c r="J127" i="4"/>
  <c r="J146" i="4"/>
  <c r="J52" i="4"/>
  <c r="H35" i="7"/>
  <c r="H89" i="4"/>
  <c r="H171" i="4"/>
  <c r="G84" i="4"/>
  <c r="J182" i="4"/>
  <c r="F97" i="7"/>
  <c r="I176" i="4"/>
  <c r="G74" i="4"/>
  <c r="D38" i="4"/>
  <c r="J128" i="4"/>
  <c r="H126" i="4"/>
  <c r="G20" i="4"/>
  <c r="H75" i="7"/>
  <c r="H58" i="7"/>
  <c r="G27" i="4"/>
  <c r="I89" i="4"/>
  <c r="H142" i="4"/>
  <c r="G69" i="4"/>
  <c r="G38" i="4"/>
  <c r="G7" i="4"/>
  <c r="G173" i="4"/>
  <c r="G96" i="4"/>
  <c r="G98" i="4"/>
  <c r="I146" i="4"/>
  <c r="J179" i="4"/>
  <c r="J18" i="4"/>
  <c r="F70" i="7"/>
  <c r="E123" i="4"/>
  <c r="I149" i="4"/>
  <c r="G149" i="4"/>
  <c r="F18" i="7"/>
  <c r="G155" i="4"/>
  <c r="G53" i="4"/>
  <c r="I25" i="4"/>
  <c r="G118" i="4"/>
  <c r="F73" i="7"/>
  <c r="G62" i="4"/>
  <c r="D183" i="4"/>
  <c r="H100" i="4"/>
  <c r="E199" i="4"/>
  <c r="F54" i="7"/>
  <c r="I6" i="4"/>
  <c r="J181" i="4"/>
  <c r="H5" i="4"/>
  <c r="H107" i="4"/>
  <c r="G110" i="4"/>
  <c r="E80" i="4"/>
  <c r="I10" i="4"/>
  <c r="E124" i="4"/>
  <c r="J149" i="4"/>
  <c r="F60" i="7"/>
  <c r="D57" i="4"/>
  <c r="E51" i="4"/>
  <c r="J32" i="4"/>
  <c r="I87" i="4"/>
  <c r="D29" i="4"/>
  <c r="E59" i="4"/>
  <c r="H173" i="4"/>
  <c r="H132" i="4"/>
  <c r="I164" i="4"/>
  <c r="D32" i="4"/>
  <c r="E122" i="4"/>
  <c r="D40" i="4"/>
  <c r="H15" i="4"/>
  <c r="J126" i="4"/>
  <c r="I128" i="4"/>
  <c r="G104" i="4"/>
  <c r="G49" i="4"/>
  <c r="E96" i="4"/>
  <c r="G121" i="4"/>
  <c r="E20" i="4"/>
  <c r="G184" i="4"/>
  <c r="J162" i="4"/>
  <c r="F64" i="7"/>
  <c r="D141" i="4"/>
  <c r="G46" i="4"/>
  <c r="I71" i="4"/>
  <c r="D120" i="4"/>
  <c r="I49" i="4"/>
  <c r="H88" i="4"/>
  <c r="E126" i="4"/>
  <c r="I195" i="4"/>
  <c r="I158" i="4"/>
  <c r="E5" i="4"/>
  <c r="F80" i="7"/>
  <c r="G44" i="7"/>
  <c r="H87" i="4"/>
  <c r="J97" i="4"/>
  <c r="E159" i="4"/>
  <c r="G64" i="7"/>
  <c r="E180" i="4"/>
  <c r="I177" i="4"/>
  <c r="D76" i="4"/>
  <c r="G32" i="7"/>
  <c r="D159" i="4"/>
  <c r="E23" i="4"/>
  <c r="H86" i="4"/>
  <c r="G74" i="7"/>
  <c r="G196" i="4"/>
  <c r="E160" i="4"/>
  <c r="H57" i="4"/>
  <c r="H196" i="4"/>
  <c r="J167" i="4"/>
  <c r="G77" i="7"/>
  <c r="G45" i="7"/>
  <c r="J188" i="4"/>
  <c r="D54" i="4"/>
  <c r="E66" i="4"/>
  <c r="G29" i="7"/>
  <c r="J198" i="4"/>
  <c r="E72" i="4"/>
  <c r="D146" i="4"/>
  <c r="D26" i="4"/>
  <c r="E43" i="4"/>
  <c r="H26" i="4"/>
  <c r="I46" i="4"/>
  <c r="F23" i="7"/>
  <c r="E185" i="4"/>
  <c r="H31" i="7"/>
  <c r="H154" i="4"/>
  <c r="H32" i="4"/>
  <c r="D88" i="4"/>
  <c r="G89" i="7"/>
  <c r="G70" i="7"/>
  <c r="E157" i="4"/>
  <c r="H26" i="7"/>
  <c r="E95" i="4"/>
  <c r="J143" i="4"/>
  <c r="G25" i="4"/>
  <c r="F88" i="7"/>
  <c r="E31" i="4"/>
  <c r="I191" i="4"/>
  <c r="I121" i="4"/>
  <c r="E163" i="4"/>
  <c r="J150" i="4"/>
  <c r="E134" i="4"/>
  <c r="I26" i="4"/>
  <c r="F87" i="7"/>
  <c r="H12" i="4"/>
  <c r="J180" i="4"/>
  <c r="H165" i="4"/>
  <c r="I137" i="4"/>
  <c r="G26" i="4"/>
  <c r="D52" i="4"/>
  <c r="E35" i="4"/>
  <c r="E119" i="4"/>
  <c r="I167" i="4"/>
  <c r="I48" i="4"/>
  <c r="H183" i="4"/>
  <c r="H45" i="7"/>
  <c r="H94" i="7"/>
  <c r="D161" i="4"/>
  <c r="E175" i="4"/>
  <c r="H79" i="4"/>
  <c r="G95" i="7"/>
  <c r="E71" i="4"/>
  <c r="J118" i="4"/>
  <c r="G37" i="4"/>
  <c r="F47" i="7"/>
  <c r="H17" i="4"/>
  <c r="I34" i="4"/>
  <c r="D90" i="4"/>
  <c r="H182" i="4"/>
  <c r="I114" i="4"/>
  <c r="G43" i="4"/>
  <c r="D15" i="4"/>
  <c r="G106" i="4"/>
  <c r="I62" i="4"/>
  <c r="I105" i="4"/>
  <c r="G24" i="4"/>
  <c r="J130" i="4"/>
  <c r="E92" i="4"/>
  <c r="I197" i="4"/>
  <c r="E189" i="4"/>
  <c r="I13" i="4"/>
  <c r="G16" i="4"/>
  <c r="J14" i="4"/>
  <c r="D104" i="4"/>
  <c r="I18" i="4"/>
  <c r="D22" i="4"/>
  <c r="H112" i="4"/>
  <c r="G83" i="7"/>
  <c r="H85" i="7"/>
  <c r="H14" i="7"/>
  <c r="J25" i="4"/>
  <c r="F41" i="7"/>
  <c r="E112" i="4"/>
  <c r="D196" i="4"/>
  <c r="H35" i="4"/>
  <c r="J173" i="4"/>
  <c r="G172" i="4"/>
  <c r="F99" i="7"/>
  <c r="J98" i="4"/>
  <c r="I182" i="4"/>
  <c r="G140" i="4"/>
  <c r="I130" i="4"/>
  <c r="I196" i="4"/>
  <c r="I44" i="4"/>
  <c r="H169" i="4"/>
  <c r="H177" i="4"/>
  <c r="H53" i="4"/>
  <c r="H37" i="4"/>
  <c r="D188" i="4"/>
  <c r="I4" i="4"/>
  <c r="G26" i="7"/>
  <c r="I58" i="4"/>
  <c r="I93" i="4"/>
  <c r="E146" i="4"/>
  <c r="F81" i="7"/>
  <c r="I180" i="4"/>
  <c r="I96" i="4"/>
  <c r="G41" i="7"/>
  <c r="E191" i="4"/>
  <c r="J84" i="4"/>
  <c r="G30" i="4"/>
  <c r="J175" i="4"/>
  <c r="H78" i="7"/>
  <c r="J120" i="4"/>
  <c r="G47" i="7"/>
  <c r="G83" i="4"/>
  <c r="H199" i="4"/>
  <c r="D123" i="4"/>
  <c r="G32" i="4"/>
  <c r="E10" i="4"/>
  <c r="F57" i="7"/>
  <c r="H116" i="4"/>
  <c r="G179" i="4"/>
  <c r="J122" i="4"/>
  <c r="G65" i="4"/>
  <c r="G37" i="7"/>
  <c r="F77" i="7"/>
  <c r="D110" i="4"/>
  <c r="G77" i="4"/>
  <c r="D105" i="4"/>
  <c r="J45" i="4"/>
  <c r="E135" i="4"/>
  <c r="H68" i="4"/>
  <c r="F15" i="7"/>
  <c r="J61" i="4"/>
  <c r="H18" i="7"/>
  <c r="J36" i="4"/>
  <c r="G22" i="4"/>
  <c r="H98" i="4"/>
  <c r="I200" i="4"/>
  <c r="I90" i="4"/>
  <c r="D178" i="4"/>
  <c r="J171" i="4"/>
  <c r="E97" i="4"/>
  <c r="D87" i="4"/>
  <c r="H147" i="4"/>
  <c r="H178" i="4"/>
  <c r="J96" i="4"/>
  <c r="J20" i="4"/>
  <c r="D45" i="4"/>
  <c r="E33" i="4"/>
  <c r="H153" i="4"/>
  <c r="G21" i="4"/>
  <c r="G87" i="4"/>
  <c r="J30" i="4"/>
  <c r="E7" i="4"/>
  <c r="J191" i="4"/>
  <c r="G80" i="7"/>
  <c r="D157" i="4"/>
  <c r="J93" i="4"/>
  <c r="G67" i="4"/>
  <c r="H13" i="7"/>
  <c r="J139" i="4"/>
  <c r="E52" i="4"/>
  <c r="I145" i="4"/>
  <c r="F85" i="7"/>
  <c r="J16" i="4"/>
  <c r="D114" i="4"/>
  <c r="D34" i="4"/>
  <c r="F32" i="7"/>
  <c r="H115" i="4"/>
  <c r="E65" i="4"/>
  <c r="H88" i="7"/>
  <c r="D163" i="4"/>
  <c r="F34" i="7"/>
  <c r="D24" i="4"/>
  <c r="I157" i="4"/>
  <c r="H7" i="7"/>
  <c r="E162" i="4"/>
  <c r="I166" i="4"/>
  <c r="G10" i="7"/>
  <c r="G9" i="7"/>
  <c r="D67" i="4"/>
  <c r="D55" i="4"/>
  <c r="E188" i="4"/>
  <c r="F17" i="7"/>
  <c r="H80" i="4"/>
  <c r="G120" i="4"/>
  <c r="J75" i="4"/>
  <c r="H43" i="7"/>
  <c r="E172" i="4"/>
  <c r="J15" i="4"/>
  <c r="D156" i="4"/>
  <c r="J74" i="4"/>
  <c r="D56" i="4"/>
  <c r="G35" i="4"/>
  <c r="F43" i="7"/>
  <c r="G152" i="4"/>
  <c r="G141" i="4"/>
  <c r="F31" i="7"/>
  <c r="G68" i="7"/>
  <c r="D134" i="4"/>
  <c r="I36" i="4"/>
  <c r="H166" i="4"/>
  <c r="G75" i="7"/>
  <c r="J169" i="4"/>
  <c r="E88" i="4"/>
  <c r="G53" i="7"/>
  <c r="J57" i="4"/>
  <c r="H95" i="4"/>
  <c r="H156" i="4"/>
  <c r="H163" i="4"/>
  <c r="G84" i="7"/>
  <c r="H84" i="7"/>
  <c r="G59" i="4"/>
  <c r="H190" i="4"/>
  <c r="F12" i="7"/>
  <c r="H70" i="4"/>
  <c r="G21" i="7"/>
  <c r="I95" i="4"/>
  <c r="F40" i="7"/>
  <c r="H95" i="7"/>
  <c r="E38" i="4"/>
  <c r="H129" i="4"/>
  <c r="E85" i="4"/>
  <c r="G35" i="7"/>
  <c r="G52" i="7"/>
  <c r="J160" i="4"/>
  <c r="D91" i="4"/>
  <c r="E68" i="4"/>
  <c r="H41" i="4"/>
  <c r="I91" i="4"/>
  <c r="J9" i="4"/>
  <c r="H76" i="4"/>
  <c r="E4" i="4"/>
  <c r="E149" i="4"/>
  <c r="F78" i="7"/>
  <c r="I100" i="4"/>
  <c r="G192" i="4"/>
  <c r="D85" i="4"/>
  <c r="J108" i="4"/>
  <c r="E98" i="4"/>
  <c r="D71" i="4"/>
  <c r="G98" i="7"/>
  <c r="G40" i="7"/>
  <c r="D147" i="4"/>
  <c r="E136" i="4"/>
  <c r="J11" i="4"/>
  <c r="J154" i="4"/>
  <c r="J168" i="4"/>
  <c r="E154" i="4"/>
  <c r="H176" i="4"/>
  <c r="D139" i="4"/>
  <c r="E153" i="4"/>
  <c r="H76" i="7"/>
  <c r="D30" i="4"/>
  <c r="E36" i="4"/>
  <c r="I7" i="4"/>
  <c r="D119" i="4"/>
  <c r="H41" i="7"/>
  <c r="G144" i="4"/>
  <c r="H32" i="7"/>
  <c r="H12" i="7"/>
  <c r="G27" i="7"/>
  <c r="H162" i="4"/>
  <c r="F24" i="7"/>
  <c r="G187" i="4"/>
  <c r="H16" i="4"/>
  <c r="E104" i="4"/>
  <c r="J104" i="4"/>
  <c r="G2" i="7"/>
  <c r="G39" i="4"/>
  <c r="D49" i="4"/>
  <c r="J194" i="4"/>
  <c r="E144" i="4"/>
  <c r="J46" i="4"/>
  <c r="I127" i="4"/>
  <c r="G91" i="7"/>
  <c r="H24" i="4"/>
  <c r="G28" i="4"/>
  <c r="J42" i="4"/>
  <c r="H67" i="4"/>
  <c r="I64" i="4"/>
  <c r="D103" i="4"/>
  <c r="H93" i="7"/>
  <c r="H61" i="7"/>
  <c r="D33" i="4"/>
  <c r="G19" i="7"/>
  <c r="I45" i="4"/>
  <c r="H158" i="4"/>
  <c r="J87" i="4"/>
  <c r="F50" i="7"/>
  <c r="E13" i="4"/>
  <c r="J138" i="4"/>
  <c r="I79" i="4"/>
  <c r="G145" i="4"/>
  <c r="G169" i="4"/>
  <c r="E167" i="4"/>
  <c r="I14" i="4"/>
  <c r="D64" i="4"/>
  <c r="H100" i="7"/>
  <c r="J80" i="4"/>
  <c r="J187" i="4"/>
  <c r="I50" i="4"/>
  <c r="G57" i="7"/>
  <c r="G100" i="7"/>
  <c r="D35" i="4"/>
  <c r="G97" i="7"/>
  <c r="J144" i="4"/>
  <c r="G190" i="4"/>
  <c r="H78" i="4"/>
  <c r="E151" i="4"/>
  <c r="E171" i="4"/>
  <c r="D8" i="4"/>
  <c r="D180" i="4"/>
  <c r="E62" i="4"/>
  <c r="D41" i="4"/>
  <c r="D172" i="4"/>
  <c r="F66" i="7"/>
  <c r="G41" i="4"/>
  <c r="I8" i="4"/>
  <c r="F96" i="7"/>
  <c r="J29" i="4"/>
  <c r="H133" i="4"/>
  <c r="G54" i="4"/>
  <c r="I131" i="4"/>
  <c r="G9" i="4"/>
  <c r="E140" i="4"/>
  <c r="E81" i="4"/>
  <c r="G54" i="7"/>
  <c r="I9" i="4"/>
  <c r="I181" i="4"/>
  <c r="D31" i="4"/>
  <c r="H103" i="4"/>
  <c r="F90" i="7"/>
  <c r="H139" i="4"/>
  <c r="J79" i="4"/>
  <c r="I80" i="4"/>
  <c r="H22" i="7"/>
  <c r="H167" i="4"/>
  <c r="H124" i="4"/>
  <c r="G94" i="7"/>
  <c r="H42" i="4"/>
  <c r="G48" i="7"/>
  <c r="E164" i="4"/>
  <c r="E127" i="4"/>
  <c r="E24" i="4"/>
  <c r="H170" i="4"/>
  <c r="E61" i="4"/>
  <c r="F51" i="7"/>
  <c r="E99" i="4"/>
  <c r="H104" i="4"/>
  <c r="G42" i="7"/>
  <c r="G33" i="7"/>
  <c r="D186" i="4"/>
  <c r="H90" i="4"/>
  <c r="G103" i="4"/>
  <c r="G60" i="4"/>
  <c r="D6" i="4"/>
  <c r="G4" i="7"/>
  <c r="J102" i="4"/>
  <c r="F44" i="7"/>
  <c r="I143" i="4"/>
  <c r="D162" i="4"/>
  <c r="E105" i="4"/>
  <c r="G12" i="4"/>
  <c r="G130" i="4"/>
  <c r="I109" i="4"/>
  <c r="G81" i="7"/>
  <c r="I111" i="4"/>
  <c r="J201" i="4"/>
  <c r="F71" i="7"/>
  <c r="G3" i="4"/>
  <c r="H83" i="4"/>
  <c r="G14" i="7"/>
  <c r="H189" i="4"/>
  <c r="D142" i="4"/>
  <c r="I122" i="4"/>
  <c r="F53" i="7"/>
  <c r="G165" i="4"/>
  <c r="G65" i="7"/>
  <c r="J190" i="4"/>
  <c r="I59" i="4"/>
  <c r="H57" i="7"/>
  <c r="G23" i="7"/>
  <c r="G113" i="4"/>
  <c r="G200" i="4"/>
  <c r="H44" i="4"/>
  <c r="H151" i="4"/>
  <c r="I83" i="4"/>
  <c r="D95" i="4"/>
  <c r="I136" i="4"/>
  <c r="I38" i="4"/>
  <c r="F56" i="7"/>
  <c r="G45" i="4"/>
  <c r="E19" i="4"/>
  <c r="G79" i="4"/>
  <c r="H194" i="4"/>
  <c r="D109" i="4"/>
  <c r="I135" i="4"/>
  <c r="H118" i="4"/>
  <c r="H172" i="4"/>
  <c r="G48" i="4"/>
  <c r="I115" i="4"/>
  <c r="G164" i="4"/>
  <c r="I108" i="4"/>
  <c r="I102" i="4"/>
  <c r="D138" i="4"/>
  <c r="E161" i="4"/>
  <c r="J163" i="4"/>
  <c r="G183" i="4"/>
  <c r="D145" i="4"/>
  <c r="H24" i="7"/>
  <c r="I103" i="4"/>
  <c r="D100" i="4"/>
  <c r="I37" i="4"/>
  <c r="H117" i="4"/>
  <c r="E166" i="4"/>
  <c r="I119" i="4"/>
  <c r="G79" i="7"/>
  <c r="H97" i="4"/>
  <c r="I33" i="4"/>
  <c r="J13" i="4"/>
  <c r="I133" i="4"/>
  <c r="I101" i="4"/>
  <c r="J184" i="4"/>
  <c r="E182" i="4"/>
  <c r="E16" i="4"/>
  <c r="G31" i="4"/>
  <c r="H80" i="7"/>
  <c r="I92" i="4"/>
  <c r="J189" i="4"/>
  <c r="H29" i="7"/>
  <c r="G131" i="4"/>
  <c r="D185" i="4"/>
  <c r="D190" i="4"/>
  <c r="H4" i="4"/>
  <c r="I24" i="4"/>
  <c r="D102" i="4"/>
  <c r="H79" i="7"/>
  <c r="H74" i="4"/>
  <c r="I39" i="4"/>
  <c r="E109" i="4"/>
  <c r="H72" i="7"/>
  <c r="I15" i="4"/>
  <c r="J39" i="4"/>
  <c r="J17" i="4"/>
  <c r="J177" i="4"/>
  <c r="D89" i="4"/>
  <c r="H67" i="7"/>
  <c r="I51" i="4"/>
  <c r="D124" i="4"/>
  <c r="H64" i="7"/>
  <c r="G88" i="7"/>
  <c r="J65" i="4"/>
  <c r="G178" i="4"/>
  <c r="E198" i="4"/>
  <c r="E27" i="4"/>
  <c r="J200" i="4"/>
  <c r="G99" i="7"/>
  <c r="J115" i="4"/>
  <c r="F20" i="7"/>
  <c r="J196" i="4"/>
  <c r="H200" i="4"/>
  <c r="E40" i="4"/>
  <c r="H2" i="4"/>
  <c r="E178" i="4"/>
  <c r="G22" i="7"/>
  <c r="J94" i="4"/>
  <c r="D112" i="4"/>
  <c r="F84" i="7"/>
  <c r="G201" i="4"/>
  <c r="E82" i="4"/>
  <c r="D61" i="4"/>
  <c r="G67" i="7"/>
  <c r="H127" i="4"/>
  <c r="G76" i="4"/>
  <c r="J195" i="4"/>
  <c r="I144" i="4"/>
  <c r="G12" i="7"/>
  <c r="D42" i="4"/>
  <c r="J101" i="4"/>
  <c r="D130" i="4"/>
  <c r="G29" i="4"/>
  <c r="H39" i="4"/>
  <c r="H175" i="4"/>
  <c r="H40" i="7"/>
  <c r="J76" i="4"/>
  <c r="H55" i="4"/>
  <c r="D2" i="4"/>
  <c r="H90" i="7"/>
  <c r="G24" i="7"/>
  <c r="E78" i="4"/>
  <c r="F29" i="7"/>
  <c r="F76" i="7"/>
  <c r="E79" i="4"/>
  <c r="G194" i="4"/>
  <c r="G116" i="4"/>
  <c r="H11" i="4"/>
  <c r="E115" i="4"/>
  <c r="H121" i="4"/>
  <c r="E173" i="4"/>
  <c r="G20" i="7"/>
  <c r="F37" i="7"/>
  <c r="I151" i="4"/>
  <c r="I198" i="4"/>
  <c r="J50" i="4"/>
  <c r="I118" i="4"/>
  <c r="E45" i="4"/>
  <c r="I28" i="4"/>
  <c r="F13" i="7"/>
  <c r="J157" i="4"/>
  <c r="D21" i="4"/>
  <c r="H96" i="7"/>
  <c r="D197" i="4"/>
  <c r="J100" i="4"/>
  <c r="E195" i="4"/>
  <c r="E53" i="4"/>
  <c r="I155" i="4"/>
  <c r="H180" i="4"/>
  <c r="J136" i="4"/>
  <c r="F94" i="7"/>
  <c r="H61" i="4"/>
  <c r="D168" i="4"/>
  <c r="I73" i="4"/>
  <c r="I183" i="4"/>
  <c r="H111" i="4"/>
  <c r="D3" i="4"/>
  <c r="E22" i="4"/>
  <c r="J41" i="4"/>
  <c r="D195" i="4"/>
  <c r="G88" i="4"/>
  <c r="I107" i="4"/>
  <c r="F28" i="7"/>
  <c r="F25" i="7"/>
  <c r="G76" i="7"/>
  <c r="E17" i="4"/>
  <c r="D78" i="4"/>
  <c r="G57" i="4"/>
  <c r="G34" i="7"/>
  <c r="H150" i="4"/>
  <c r="F48" i="7"/>
  <c r="H15" i="7"/>
  <c r="G87" i="7"/>
  <c r="D99" i="4"/>
  <c r="E34" i="4"/>
  <c r="I120" i="4"/>
  <c r="J78" i="4"/>
  <c r="F52" i="7"/>
  <c r="H94" i="4"/>
  <c r="H134" i="4"/>
  <c r="D83" i="4"/>
  <c r="H157" i="4"/>
  <c r="J53" i="4"/>
  <c r="I124" i="4"/>
  <c r="H6" i="4"/>
  <c r="H186" i="4"/>
  <c r="I110" i="4"/>
  <c r="D174" i="4"/>
  <c r="E44" i="4"/>
  <c r="H122" i="4"/>
  <c r="E54" i="4"/>
  <c r="G160" i="4"/>
  <c r="H20" i="7"/>
  <c r="F82" i="7"/>
  <c r="F93" i="7"/>
  <c r="J117" i="4"/>
  <c r="H168" i="4"/>
  <c r="G185" i="4"/>
  <c r="E74" i="4"/>
  <c r="J82" i="4"/>
  <c r="F59" i="7"/>
  <c r="I67" i="4"/>
  <c r="H152" i="4"/>
  <c r="D166" i="4"/>
  <c r="G13" i="7"/>
  <c r="F27" i="7"/>
  <c r="I56" i="4"/>
  <c r="G111" i="4"/>
  <c r="H197" i="4"/>
  <c r="G189" i="4"/>
  <c r="D48" i="4"/>
  <c r="I126" i="4"/>
  <c r="I129" i="4"/>
  <c r="D108" i="4"/>
  <c r="G10" i="4"/>
  <c r="G186" i="4"/>
  <c r="H92" i="7"/>
  <c r="E197" i="4"/>
  <c r="F65" i="7"/>
  <c r="I168" i="4"/>
  <c r="D140" i="4"/>
  <c r="E102" i="4"/>
  <c r="G101" i="7"/>
  <c r="H9" i="4"/>
  <c r="J4" i="4"/>
  <c r="G86" i="7"/>
  <c r="J90" i="4"/>
  <c r="H85" i="4"/>
  <c r="J5" i="4"/>
  <c r="F100" i="7"/>
  <c r="H73" i="7"/>
  <c r="G8" i="7"/>
  <c r="G146" i="4"/>
  <c r="G28" i="7"/>
  <c r="I153" i="4"/>
  <c r="E118" i="4"/>
  <c r="D167" i="4"/>
  <c r="J54" i="4"/>
  <c r="H3" i="4"/>
  <c r="J152" i="4"/>
  <c r="J43" i="4"/>
  <c r="G162" i="4"/>
  <c r="G198" i="4"/>
  <c r="I70" i="4"/>
  <c r="D154" i="4"/>
  <c r="I179" i="4"/>
  <c r="D200" i="4"/>
  <c r="I194" i="4"/>
  <c r="I30" i="4"/>
  <c r="D92" i="4"/>
  <c r="J137" i="4"/>
  <c r="D148" i="4"/>
  <c r="J31" i="4"/>
  <c r="H5" i="7"/>
  <c r="H16" i="7"/>
  <c r="D74" i="4"/>
  <c r="E147" i="4"/>
  <c r="D4" i="4"/>
  <c r="H191" i="4"/>
  <c r="D137" i="4"/>
  <c r="D129" i="4"/>
  <c r="E139" i="4"/>
  <c r="E18" i="4"/>
  <c r="G13" i="4"/>
  <c r="H75" i="4"/>
  <c r="F79" i="7"/>
  <c r="H181" i="4"/>
  <c r="J33" i="4"/>
  <c r="J176" i="4"/>
  <c r="E130" i="4"/>
  <c r="I134" i="4"/>
  <c r="E132" i="4"/>
  <c r="G49" i="7"/>
  <c r="J158" i="4"/>
  <c r="G11" i="7"/>
  <c r="F39" i="7"/>
  <c r="I193" i="4"/>
  <c r="E70" i="4"/>
  <c r="I16" i="4"/>
  <c r="I86" i="4"/>
  <c r="F74" i="7"/>
  <c r="F21" i="7"/>
  <c r="J71" i="4"/>
  <c r="H38" i="4"/>
  <c r="E21" i="4"/>
  <c r="H64" i="4"/>
  <c r="I32" i="4"/>
  <c r="H33" i="7"/>
  <c r="D19" i="4"/>
  <c r="E30" i="4"/>
  <c r="G2" i="4"/>
  <c r="G23" i="4"/>
  <c r="H51" i="7"/>
  <c r="D160" i="4"/>
  <c r="J67" i="4"/>
  <c r="E47" i="4"/>
  <c r="G90" i="4"/>
  <c r="G105" i="4"/>
  <c r="H113" i="4"/>
  <c r="E6" i="4"/>
  <c r="D77" i="4"/>
  <c r="J113" i="4"/>
  <c r="J63" i="4"/>
  <c r="I192" i="4"/>
  <c r="D39" i="4"/>
  <c r="D116" i="4"/>
  <c r="H50" i="7"/>
  <c r="I138" i="4"/>
  <c r="H91" i="4"/>
  <c r="I31" i="4"/>
  <c r="G42" i="4"/>
  <c r="E110" i="4"/>
  <c r="J83" i="4"/>
  <c r="G123" i="4"/>
  <c r="G64" i="4"/>
  <c r="H193" i="4"/>
  <c r="I66" i="4"/>
  <c r="E200" i="4"/>
  <c r="I19" i="4"/>
  <c r="J161" i="4"/>
  <c r="E48" i="4"/>
  <c r="G136" i="4"/>
  <c r="G124" i="4"/>
  <c r="I20" i="4"/>
  <c r="G15" i="7"/>
  <c r="E169" i="4"/>
  <c r="H36" i="4"/>
  <c r="J86" i="4"/>
  <c r="D181" i="4"/>
  <c r="F95" i="7"/>
  <c r="E93" i="4"/>
  <c r="E187" i="4"/>
  <c r="D66" i="4"/>
  <c r="E11" i="4"/>
  <c r="H106" i="4"/>
  <c r="I3" i="4"/>
  <c r="H51" i="4"/>
  <c r="D125" i="4"/>
  <c r="E77" i="4"/>
  <c r="H21" i="4"/>
  <c r="I188" i="4"/>
  <c r="D20" i="4"/>
  <c r="H59" i="7"/>
  <c r="G191" i="4"/>
  <c r="J26" i="4"/>
  <c r="J28" i="4"/>
  <c r="D122" i="4"/>
  <c r="G17" i="4"/>
  <c r="H3" i="7"/>
  <c r="J135" i="4"/>
  <c r="J34" i="4"/>
  <c r="I27" i="4"/>
  <c r="J145" i="4"/>
  <c r="E56" i="4"/>
  <c r="E117" i="4"/>
  <c r="F58" i="7"/>
  <c r="H101" i="4"/>
  <c r="H56" i="4"/>
  <c r="D191" i="4"/>
  <c r="G63" i="4"/>
  <c r="E55" i="4"/>
  <c r="G148" i="4"/>
  <c r="J91" i="4"/>
  <c r="G18" i="4"/>
  <c r="J106" i="4"/>
  <c r="E89" i="4"/>
  <c r="I123" i="4"/>
  <c r="H192" i="4"/>
  <c r="J37" i="4"/>
  <c r="G137" i="4"/>
  <c r="D155" i="4"/>
  <c r="G72" i="7"/>
  <c r="G95" i="4"/>
  <c r="J40" i="4"/>
  <c r="I202" i="4"/>
  <c r="D5" i="4"/>
  <c r="D43" i="4"/>
  <c r="D65" i="4"/>
  <c r="D46" i="4"/>
  <c r="I186" i="4"/>
  <c r="G40" i="4"/>
  <c r="G102" i="4"/>
  <c r="J141" i="4"/>
  <c r="H52" i="7"/>
  <c r="G157" i="4"/>
  <c r="G50" i="4"/>
  <c r="G117" i="4"/>
  <c r="H174" i="4"/>
  <c r="H47" i="7"/>
  <c r="H135" i="4"/>
  <c r="H71" i="7"/>
  <c r="G55" i="4"/>
  <c r="G182" i="4"/>
  <c r="D143" i="4"/>
  <c r="H143" i="4"/>
  <c r="J133" i="4"/>
  <c r="D47" i="4"/>
  <c r="E156" i="4"/>
  <c r="I156" i="4"/>
  <c r="D68" i="4"/>
  <c r="F61" i="7"/>
  <c r="J7" i="4"/>
  <c r="E196" i="4"/>
  <c r="E128" i="4"/>
  <c r="G7" i="7"/>
  <c r="H53" i="7"/>
  <c r="H63" i="7"/>
  <c r="D72" i="4"/>
  <c r="H50" i="4"/>
  <c r="H45" i="4"/>
  <c r="D132" i="4"/>
  <c r="D179" i="4"/>
  <c r="J8" i="4"/>
  <c r="G181" i="4"/>
  <c r="I60" i="4"/>
  <c r="E83" i="4"/>
  <c r="I169" i="4"/>
  <c r="E84" i="4"/>
  <c r="J183" i="4"/>
  <c r="H188" i="4"/>
  <c r="H31" i="4"/>
  <c r="E143" i="4"/>
  <c r="D27" i="4"/>
  <c r="I88" i="4"/>
  <c r="F5" i="7"/>
  <c r="H97" i="7"/>
  <c r="D189" i="4"/>
  <c r="G85" i="4"/>
  <c r="G94" i="4"/>
  <c r="I174" i="4"/>
  <c r="J178" i="4"/>
  <c r="D12" i="4"/>
  <c r="G71" i="4"/>
  <c r="D14" i="4"/>
  <c r="G112" i="4"/>
  <c r="E103" i="4"/>
  <c r="D37" i="4"/>
  <c r="H140" i="4"/>
  <c r="G61" i="7"/>
  <c r="D158" i="4"/>
  <c r="J134" i="4"/>
  <c r="H38" i="7"/>
  <c r="I42" i="4"/>
  <c r="F30" i="7"/>
  <c r="J110" i="4"/>
  <c r="H99" i="7"/>
  <c r="G46" i="7"/>
  <c r="J38" i="4"/>
  <c r="H128" i="4"/>
  <c r="F16" i="7"/>
  <c r="G43" i="7"/>
  <c r="E25" i="4"/>
  <c r="E145" i="4"/>
  <c r="H56" i="7"/>
  <c r="E49" i="4"/>
  <c r="I74" i="4"/>
  <c r="D201" i="4"/>
  <c r="D184" i="4"/>
  <c r="D13" i="4"/>
  <c r="H136" i="4"/>
  <c r="G96" i="7"/>
  <c r="J55" i="4"/>
  <c r="I113" i="4"/>
  <c r="D164" i="4"/>
  <c r="I199" i="4"/>
  <c r="D97" i="4"/>
  <c r="H185" i="4"/>
  <c r="G119" i="4"/>
  <c r="H34" i="7"/>
  <c r="I81" i="4"/>
  <c r="F7" i="7"/>
  <c r="H11" i="7"/>
  <c r="D127" i="4"/>
  <c r="H66" i="4"/>
  <c r="F10" i="7"/>
  <c r="G5" i="7"/>
  <c r="G180" i="4"/>
  <c r="D63" i="4"/>
  <c r="H21" i="7"/>
  <c r="J27" i="4"/>
  <c r="H49" i="4"/>
  <c r="G100" i="4"/>
  <c r="D113" i="4"/>
  <c r="J103" i="4"/>
  <c r="F3" i="7"/>
  <c r="F72" i="7"/>
  <c r="H30" i="4"/>
  <c r="G47" i="4"/>
  <c r="H70" i="7"/>
  <c r="G36" i="4"/>
  <c r="G34" i="4"/>
  <c r="I85" i="4"/>
  <c r="F75" i="7"/>
  <c r="F26" i="7"/>
  <c r="H59" i="4"/>
  <c r="G78" i="4"/>
  <c r="E168" i="4"/>
  <c r="J44" i="4"/>
  <c r="H138" i="4"/>
  <c r="E67" i="4"/>
  <c r="G90" i="7"/>
  <c r="G8" i="4"/>
  <c r="D7" i="4"/>
  <c r="G150" i="4"/>
  <c r="E193" i="4"/>
  <c r="E176" i="4"/>
  <c r="H81" i="4"/>
  <c r="E87" i="4"/>
  <c r="F9" i="7"/>
  <c r="H36" i="7"/>
  <c r="H202" i="4"/>
  <c r="H63" i="4"/>
  <c r="E108" i="4"/>
  <c r="G177" i="4"/>
  <c r="G142" i="4"/>
  <c r="E39" i="4"/>
  <c r="G128" i="4"/>
  <c r="G197" i="4"/>
  <c r="E177" i="4"/>
  <c r="H9" i="7"/>
  <c r="G55" i="7"/>
  <c r="F91" i="7"/>
  <c r="J125" i="4"/>
  <c r="H87" i="7"/>
  <c r="J47" i="4"/>
  <c r="H46" i="7"/>
  <c r="G62" i="7"/>
  <c r="J19" i="4"/>
  <c r="J174" i="4"/>
  <c r="I84" i="4"/>
  <c r="D16" i="4"/>
  <c r="H20" i="4"/>
  <c r="G115" i="4"/>
  <c r="F19" i="7"/>
  <c r="I201" i="4"/>
  <c r="I61" i="4"/>
  <c r="H69" i="4"/>
  <c r="H91" i="7"/>
  <c r="J24" i="4"/>
  <c r="H73" i="4"/>
  <c r="I162" i="4"/>
  <c r="I29" i="4"/>
  <c r="G134" i="4"/>
  <c r="I117" i="4"/>
  <c r="J114" i="4"/>
  <c r="D128" i="4"/>
  <c r="J35" i="4"/>
  <c r="E75" i="4"/>
  <c r="F49" i="7"/>
  <c r="G72" i="4"/>
  <c r="F22" i="7"/>
  <c r="I172" i="4"/>
  <c r="H25" i="7"/>
  <c r="H82" i="7"/>
  <c r="I116" i="4"/>
  <c r="H6" i="7"/>
  <c r="H102" i="4"/>
  <c r="K6" i="7" l="1"/>
  <c r="L6" i="7" s="1"/>
  <c r="M6" i="7"/>
  <c r="J6" i="7"/>
  <c r="M82" i="7"/>
  <c r="K82" i="7"/>
  <c r="L82" i="7" s="1"/>
  <c r="J82" i="7"/>
  <c r="M25" i="7"/>
  <c r="K25" i="7"/>
  <c r="L25" i="7" s="1"/>
  <c r="J25" i="7"/>
  <c r="F128" i="4"/>
  <c r="K128" i="4" s="1"/>
  <c r="M91" i="7"/>
  <c r="K91" i="7"/>
  <c r="L91" i="7" s="1"/>
  <c r="J91" i="7"/>
  <c r="F16" i="4"/>
  <c r="K16" i="4" s="1"/>
  <c r="N62" i="7"/>
  <c r="V62" i="7"/>
  <c r="M46" i="7"/>
  <c r="J46" i="7"/>
  <c r="K46" i="7"/>
  <c r="L46" i="7" s="1"/>
  <c r="M87" i="7"/>
  <c r="J87" i="7"/>
  <c r="K87" i="7"/>
  <c r="L87" i="7" s="1"/>
  <c r="N55" i="7"/>
  <c r="V55" i="7"/>
  <c r="J9" i="7"/>
  <c r="M9" i="7"/>
  <c r="K9" i="7"/>
  <c r="L9" i="7" s="1"/>
  <c r="K202" i="4"/>
  <c r="J36" i="7"/>
  <c r="K36" i="7"/>
  <c r="L36" i="7" s="1"/>
  <c r="M36" i="7"/>
  <c r="F7" i="4"/>
  <c r="K7" i="4" s="1"/>
  <c r="N90" i="7"/>
  <c r="V90" i="7"/>
  <c r="J70" i="7"/>
  <c r="K70" i="7"/>
  <c r="L70" i="7" s="1"/>
  <c r="M70" i="7"/>
  <c r="F113" i="4"/>
  <c r="K113" i="4" s="1"/>
  <c r="J21" i="7"/>
  <c r="M21" i="7"/>
  <c r="K21" i="7"/>
  <c r="L21" i="7" s="1"/>
  <c r="F63" i="4"/>
  <c r="K63" i="4" s="1"/>
  <c r="N5" i="7"/>
  <c r="V5" i="7"/>
  <c r="F127" i="4"/>
  <c r="K127" i="4" s="1"/>
  <c r="K11" i="7"/>
  <c r="L11" i="7" s="1"/>
  <c r="M11" i="7"/>
  <c r="J11" i="7"/>
  <c r="M34" i="7"/>
  <c r="K34" i="7"/>
  <c r="L34" i="7" s="1"/>
  <c r="J34" i="7"/>
  <c r="F97" i="4"/>
  <c r="K97" i="4" s="1"/>
  <c r="F164" i="4"/>
  <c r="K164" i="4" s="1"/>
  <c r="N96" i="7"/>
  <c r="V96" i="7"/>
  <c r="F13" i="4"/>
  <c r="K13" i="4" s="1"/>
  <c r="F184" i="4"/>
  <c r="K184" i="4" s="1"/>
  <c r="F201" i="4"/>
  <c r="K201" i="4" s="1"/>
  <c r="J56" i="7"/>
  <c r="M56" i="7"/>
  <c r="K56" i="7"/>
  <c r="L56" i="7" s="1"/>
  <c r="V43" i="7"/>
  <c r="N43" i="7"/>
  <c r="V46" i="7"/>
  <c r="N46" i="7"/>
  <c r="J99" i="7"/>
  <c r="M99" i="7"/>
  <c r="K99" i="7"/>
  <c r="L99" i="7" s="1"/>
  <c r="J38" i="7"/>
  <c r="M38" i="7"/>
  <c r="K38" i="7"/>
  <c r="L38" i="7" s="1"/>
  <c r="F158" i="4"/>
  <c r="K158" i="4" s="1"/>
  <c r="N61" i="7"/>
  <c r="V61" i="7"/>
  <c r="F37" i="4"/>
  <c r="K37" i="4" s="1"/>
  <c r="F14" i="4"/>
  <c r="K14" i="4" s="1"/>
  <c r="F12" i="4"/>
  <c r="K12" i="4" s="1"/>
  <c r="F189" i="4"/>
  <c r="K189" i="4" s="1"/>
  <c r="M97" i="7"/>
  <c r="J97" i="7"/>
  <c r="K97" i="7"/>
  <c r="L97" i="7" s="1"/>
  <c r="F27" i="4"/>
  <c r="K27" i="4" s="1"/>
  <c r="F179" i="4"/>
  <c r="K179" i="4" s="1"/>
  <c r="F132" i="4"/>
  <c r="K132" i="4" s="1"/>
  <c r="F72" i="4"/>
  <c r="K72" i="4" s="1"/>
  <c r="K63" i="7"/>
  <c r="L63" i="7" s="1"/>
  <c r="M63" i="7"/>
  <c r="J63" i="7"/>
  <c r="M53" i="7"/>
  <c r="J53" i="7"/>
  <c r="K53" i="7"/>
  <c r="L53" i="7" s="1"/>
  <c r="N7" i="7"/>
  <c r="V7" i="7"/>
  <c r="F68" i="4"/>
  <c r="K68" i="4" s="1"/>
  <c r="F47" i="4"/>
  <c r="K47" i="4" s="1"/>
  <c r="F143" i="4"/>
  <c r="K143" i="4" s="1"/>
  <c r="J71" i="7"/>
  <c r="K71" i="7"/>
  <c r="L71" i="7" s="1"/>
  <c r="M71" i="7"/>
  <c r="J47" i="7"/>
  <c r="M47" i="7"/>
  <c r="K47" i="7"/>
  <c r="L47" i="7" s="1"/>
  <c r="J52" i="7"/>
  <c r="K52" i="7"/>
  <c r="L52" i="7" s="1"/>
  <c r="M52" i="7"/>
  <c r="F46" i="4"/>
  <c r="K46" i="4" s="1"/>
  <c r="F65" i="4"/>
  <c r="K65" i="4" s="1"/>
  <c r="L64" i="4" s="1"/>
  <c r="F43" i="4"/>
  <c r="K43" i="4" s="1"/>
  <c r="F5" i="4"/>
  <c r="K5" i="4" s="1"/>
  <c r="N72" i="7"/>
  <c r="V72" i="7"/>
  <c r="F155" i="4"/>
  <c r="K155" i="4" s="1"/>
  <c r="F191" i="4"/>
  <c r="K191" i="4" s="1"/>
  <c r="M3" i="7"/>
  <c r="K3" i="7"/>
  <c r="L3" i="7" s="1"/>
  <c r="J3" i="7"/>
  <c r="F122" i="4"/>
  <c r="K122" i="4" s="1"/>
  <c r="K59" i="7"/>
  <c r="L59" i="7" s="1"/>
  <c r="M59" i="7"/>
  <c r="J59" i="7"/>
  <c r="F20" i="4"/>
  <c r="K20" i="4" s="1"/>
  <c r="F125" i="4"/>
  <c r="K125" i="4" s="1"/>
  <c r="F66" i="4"/>
  <c r="K66" i="4" s="1"/>
  <c r="F181" i="4"/>
  <c r="K181" i="4" s="1"/>
  <c r="N15" i="7"/>
  <c r="V15" i="7"/>
  <c r="M50" i="7"/>
  <c r="K50" i="7"/>
  <c r="L50" i="7" s="1"/>
  <c r="J50" i="7"/>
  <c r="F116" i="4"/>
  <c r="K116" i="4" s="1"/>
  <c r="L115" i="4" s="1"/>
  <c r="F39" i="4"/>
  <c r="K39" i="4" s="1"/>
  <c r="F77" i="4"/>
  <c r="K77" i="4" s="1"/>
  <c r="F160" i="4"/>
  <c r="K160" i="4" s="1"/>
  <c r="M51" i="7"/>
  <c r="J51" i="7"/>
  <c r="K51" i="7"/>
  <c r="L51" i="7" s="1"/>
  <c r="F19" i="4"/>
  <c r="K19" i="4" s="1"/>
  <c r="M33" i="7"/>
  <c r="J33" i="7"/>
  <c r="K33" i="7"/>
  <c r="L33" i="7" s="1"/>
  <c r="V11" i="7"/>
  <c r="N11" i="7"/>
  <c r="V49" i="7"/>
  <c r="N49" i="7"/>
  <c r="F129" i="4"/>
  <c r="K129" i="4" s="1"/>
  <c r="L128" i="4" s="1"/>
  <c r="F137" i="4"/>
  <c r="K137" i="4" s="1"/>
  <c r="F4" i="4"/>
  <c r="K4" i="4" s="1"/>
  <c r="F74" i="4"/>
  <c r="K74" i="4" s="1"/>
  <c r="J16" i="7"/>
  <c r="K16" i="7"/>
  <c r="L16" i="7" s="1"/>
  <c r="M16" i="7"/>
  <c r="M5" i="7"/>
  <c r="J5" i="7"/>
  <c r="K5" i="7"/>
  <c r="L5" i="7" s="1"/>
  <c r="F148" i="4"/>
  <c r="K148" i="4" s="1"/>
  <c r="F92" i="4"/>
  <c r="K92" i="4" s="1"/>
  <c r="F200" i="4"/>
  <c r="K200" i="4" s="1"/>
  <c r="F154" i="4"/>
  <c r="K154" i="4" s="1"/>
  <c r="F167" i="4"/>
  <c r="K167" i="4" s="1"/>
  <c r="V28" i="7"/>
  <c r="N28" i="7"/>
  <c r="V8" i="7"/>
  <c r="N8" i="7"/>
  <c r="J73" i="7"/>
  <c r="M73" i="7"/>
  <c r="K73" i="7"/>
  <c r="L73" i="7" s="1"/>
  <c r="N86" i="7"/>
  <c r="V86" i="7"/>
  <c r="V101" i="7"/>
  <c r="N101" i="7"/>
  <c r="F140" i="4"/>
  <c r="K140" i="4" s="1"/>
  <c r="M92" i="7"/>
  <c r="K92" i="7"/>
  <c r="L92" i="7" s="1"/>
  <c r="J92" i="7"/>
  <c r="F108" i="4"/>
  <c r="K108" i="4" s="1"/>
  <c r="F48" i="4"/>
  <c r="K48" i="4" s="1"/>
  <c r="N13" i="7"/>
  <c r="V13" i="7"/>
  <c r="F166" i="4"/>
  <c r="K166" i="4" s="1"/>
  <c r="M20" i="7"/>
  <c r="J20" i="7"/>
  <c r="K20" i="7"/>
  <c r="L20" i="7" s="1"/>
  <c r="F174" i="4"/>
  <c r="K174" i="4" s="1"/>
  <c r="F83" i="4"/>
  <c r="K83" i="4" s="1"/>
  <c r="F99" i="4"/>
  <c r="K99" i="4" s="1"/>
  <c r="V87" i="7"/>
  <c r="N87" i="7"/>
  <c r="M15" i="7"/>
  <c r="J15" i="7"/>
  <c r="K15" i="7"/>
  <c r="L15" i="7" s="1"/>
  <c r="V34" i="7"/>
  <c r="N34" i="7"/>
  <c r="F78" i="4"/>
  <c r="K78" i="4" s="1"/>
  <c r="L77" i="4" s="1"/>
  <c r="V76" i="7"/>
  <c r="N76" i="7"/>
  <c r="F195" i="4"/>
  <c r="K195" i="4" s="1"/>
  <c r="F3" i="4"/>
  <c r="K3" i="4" s="1"/>
  <c r="F168" i="4"/>
  <c r="K168" i="4" s="1"/>
  <c r="F197" i="4"/>
  <c r="K197" i="4" s="1"/>
  <c r="M96" i="7"/>
  <c r="K96" i="7"/>
  <c r="L96" i="7" s="1"/>
  <c r="J96" i="7"/>
  <c r="F21" i="4"/>
  <c r="K21" i="4" s="1"/>
  <c r="N20" i="7"/>
  <c r="V20" i="7"/>
  <c r="N24" i="7"/>
  <c r="V24" i="7"/>
  <c r="J90" i="7"/>
  <c r="K90" i="7"/>
  <c r="L90" i="7" s="1"/>
  <c r="M90" i="7"/>
  <c r="F2" i="4"/>
  <c r="K2" i="4" s="1"/>
  <c r="J40" i="7"/>
  <c r="M40" i="7"/>
  <c r="K40" i="7"/>
  <c r="L40" i="7" s="1"/>
  <c r="F130" i="4"/>
  <c r="K130" i="4" s="1"/>
  <c r="L129" i="4" s="1"/>
  <c r="F42" i="4"/>
  <c r="K42" i="4" s="1"/>
  <c r="N12" i="7"/>
  <c r="V12" i="7"/>
  <c r="V67" i="7"/>
  <c r="N67" i="7"/>
  <c r="F61" i="4"/>
  <c r="K61" i="4" s="1"/>
  <c r="F112" i="4"/>
  <c r="K112" i="4" s="1"/>
  <c r="V22" i="7"/>
  <c r="N22" i="7"/>
  <c r="N99" i="7"/>
  <c r="V99" i="7"/>
  <c r="V88" i="7"/>
  <c r="N88" i="7"/>
  <c r="J64" i="7"/>
  <c r="M64" i="7"/>
  <c r="K64" i="7"/>
  <c r="L64" i="7" s="1"/>
  <c r="F124" i="4"/>
  <c r="K124" i="4" s="1"/>
  <c r="J67" i="7"/>
  <c r="K67" i="7"/>
  <c r="L67" i="7" s="1"/>
  <c r="M67" i="7"/>
  <c r="F89" i="4"/>
  <c r="K89" i="4" s="1"/>
  <c r="K72" i="7"/>
  <c r="L72" i="7" s="1"/>
  <c r="J72" i="7"/>
  <c r="M72" i="7"/>
  <c r="K79" i="7"/>
  <c r="L79" i="7" s="1"/>
  <c r="J79" i="7"/>
  <c r="M79" i="7"/>
  <c r="F102" i="4"/>
  <c r="K102" i="4" s="1"/>
  <c r="F190" i="4"/>
  <c r="K190" i="4" s="1"/>
  <c r="F185" i="4"/>
  <c r="K185" i="4" s="1"/>
  <c r="M29" i="7"/>
  <c r="K29" i="7"/>
  <c r="L29" i="7" s="1"/>
  <c r="J29" i="7"/>
  <c r="J80" i="7"/>
  <c r="K80" i="7"/>
  <c r="L80" i="7" s="1"/>
  <c r="M80" i="7"/>
  <c r="N79" i="7"/>
  <c r="V79" i="7"/>
  <c r="F100" i="4"/>
  <c r="K100" i="4" s="1"/>
  <c r="K24" i="7"/>
  <c r="L24" i="7" s="1"/>
  <c r="M24" i="7"/>
  <c r="J24" i="7"/>
  <c r="F145" i="4"/>
  <c r="K145" i="4" s="1"/>
  <c r="F138" i="4"/>
  <c r="K138" i="4" s="1"/>
  <c r="F109" i="4"/>
  <c r="K109" i="4" s="1"/>
  <c r="F95" i="4"/>
  <c r="K95" i="4" s="1"/>
  <c r="N23" i="7"/>
  <c r="V23" i="7"/>
  <c r="M57" i="7"/>
  <c r="K57" i="7"/>
  <c r="L57" i="7" s="1"/>
  <c r="J57" i="7"/>
  <c r="V65" i="7"/>
  <c r="N65" i="7"/>
  <c r="F142" i="4"/>
  <c r="K142" i="4" s="1"/>
  <c r="L141" i="4" s="1"/>
  <c r="N14" i="7"/>
  <c r="V14" i="7"/>
  <c r="N81" i="7"/>
  <c r="V81" i="7"/>
  <c r="F162" i="4"/>
  <c r="K162" i="4" s="1"/>
  <c r="N4" i="7"/>
  <c r="V4" i="7"/>
  <c r="F6" i="4"/>
  <c r="K6" i="4" s="1"/>
  <c r="F186" i="4"/>
  <c r="K186" i="4" s="1"/>
  <c r="L185" i="4" s="1"/>
  <c r="V33" i="7"/>
  <c r="N33" i="7"/>
  <c r="N42" i="7"/>
  <c r="V42" i="7"/>
  <c r="V48" i="7"/>
  <c r="N48" i="7"/>
  <c r="N94" i="7"/>
  <c r="V94" i="7"/>
  <c r="M22" i="7"/>
  <c r="K22" i="7"/>
  <c r="L22" i="7" s="1"/>
  <c r="J22" i="7"/>
  <c r="F31" i="4"/>
  <c r="K31" i="4" s="1"/>
  <c r="V54" i="7"/>
  <c r="N54" i="7"/>
  <c r="F172" i="4"/>
  <c r="K172" i="4" s="1"/>
  <c r="F41" i="4"/>
  <c r="K41" i="4" s="1"/>
  <c r="L40" i="4" s="1"/>
  <c r="F180" i="4"/>
  <c r="K180" i="4" s="1"/>
  <c r="F8" i="4"/>
  <c r="K8" i="4" s="1"/>
  <c r="N97" i="7"/>
  <c r="V97" i="7"/>
  <c r="F35" i="4"/>
  <c r="K35" i="4" s="1"/>
  <c r="N100" i="7"/>
  <c r="V100" i="7"/>
  <c r="V57" i="7"/>
  <c r="N57" i="7"/>
  <c r="K100" i="7"/>
  <c r="L100" i="7" s="1"/>
  <c r="J100" i="7"/>
  <c r="M100" i="7"/>
  <c r="F64" i="4"/>
  <c r="K64" i="4" s="1"/>
  <c r="N19" i="7"/>
  <c r="V19" i="7"/>
  <c r="F33" i="4"/>
  <c r="K33" i="4" s="1"/>
  <c r="J61" i="7"/>
  <c r="K61" i="7"/>
  <c r="L61" i="7" s="1"/>
  <c r="M61" i="7"/>
  <c r="K93" i="7"/>
  <c r="L93" i="7" s="1"/>
  <c r="J93" i="7"/>
  <c r="M93" i="7"/>
  <c r="F103" i="4"/>
  <c r="K103" i="4" s="1"/>
  <c r="L102" i="4" s="1"/>
  <c r="N91" i="7"/>
  <c r="V91" i="7"/>
  <c r="F49" i="4"/>
  <c r="K49" i="4" s="1"/>
  <c r="L48" i="4" s="1"/>
  <c r="N2" i="7"/>
  <c r="V2" i="7"/>
  <c r="V27" i="7"/>
  <c r="N27" i="7"/>
  <c r="J12" i="7"/>
  <c r="K12" i="7"/>
  <c r="L12" i="7" s="1"/>
  <c r="M12" i="7"/>
  <c r="K32" i="7"/>
  <c r="L32" i="7" s="1"/>
  <c r="M32" i="7"/>
  <c r="J32" i="7"/>
  <c r="K41" i="7"/>
  <c r="L41" i="7" s="1"/>
  <c r="M41" i="7"/>
  <c r="J41" i="7"/>
  <c r="F119" i="4"/>
  <c r="K119" i="4" s="1"/>
  <c r="F30" i="4"/>
  <c r="K30" i="4" s="1"/>
  <c r="J76" i="7"/>
  <c r="M76" i="7"/>
  <c r="K76" i="7"/>
  <c r="L76" i="7" s="1"/>
  <c r="F139" i="4"/>
  <c r="K139" i="4" s="1"/>
  <c r="F147" i="4"/>
  <c r="K147" i="4" s="1"/>
  <c r="L146" i="4" s="1"/>
  <c r="N40" i="7"/>
  <c r="V40" i="7"/>
  <c r="V98" i="7"/>
  <c r="N98" i="7"/>
  <c r="F71" i="4"/>
  <c r="K71" i="4" s="1"/>
  <c r="F85" i="4"/>
  <c r="K85" i="4" s="1"/>
  <c r="L84" i="4" s="1"/>
  <c r="F91" i="4"/>
  <c r="K91" i="4" s="1"/>
  <c r="V52" i="7"/>
  <c r="N52" i="7"/>
  <c r="N35" i="7"/>
  <c r="V35" i="7"/>
  <c r="K95" i="7"/>
  <c r="L95" i="7" s="1"/>
  <c r="M95" i="7"/>
  <c r="J95" i="7"/>
  <c r="N21" i="7"/>
  <c r="V21" i="7"/>
  <c r="M84" i="7"/>
  <c r="J84" i="7"/>
  <c r="K84" i="7"/>
  <c r="L84" i="7" s="1"/>
  <c r="V84" i="7"/>
  <c r="N84" i="7"/>
  <c r="V53" i="7"/>
  <c r="N53" i="7"/>
  <c r="V75" i="7"/>
  <c r="N75" i="7"/>
  <c r="F134" i="4"/>
  <c r="K134" i="4" s="1"/>
  <c r="L133" i="4" s="1"/>
  <c r="N68" i="7"/>
  <c r="V68" i="7"/>
  <c r="F56" i="4"/>
  <c r="K56" i="4" s="1"/>
  <c r="F156" i="4"/>
  <c r="K156" i="4" s="1"/>
  <c r="M43" i="7"/>
  <c r="J43" i="7"/>
  <c r="K43" i="7"/>
  <c r="L43" i="7" s="1"/>
  <c r="F55" i="4"/>
  <c r="K55" i="4" s="1"/>
  <c r="F67" i="4"/>
  <c r="K67" i="4" s="1"/>
  <c r="V9" i="7"/>
  <c r="N9" i="7"/>
  <c r="N10" i="7"/>
  <c r="V10" i="7"/>
  <c r="K7" i="7"/>
  <c r="L7" i="7" s="1"/>
  <c r="J7" i="7"/>
  <c r="M7" i="7"/>
  <c r="F24" i="4"/>
  <c r="K24" i="4" s="1"/>
  <c r="F163" i="4"/>
  <c r="K163" i="4" s="1"/>
  <c r="K88" i="7"/>
  <c r="L88" i="7" s="1"/>
  <c r="M88" i="7"/>
  <c r="J88" i="7"/>
  <c r="F34" i="4"/>
  <c r="K34" i="4" s="1"/>
  <c r="F114" i="4"/>
  <c r="K114" i="4" s="1"/>
  <c r="L113" i="4" s="1"/>
  <c r="J13" i="7"/>
  <c r="M13" i="7"/>
  <c r="K13" i="7"/>
  <c r="L13" i="7" s="1"/>
  <c r="F157" i="4"/>
  <c r="K157" i="4" s="1"/>
  <c r="N80" i="7"/>
  <c r="V80" i="7"/>
  <c r="F45" i="4"/>
  <c r="K45" i="4" s="1"/>
  <c r="F87" i="4"/>
  <c r="K87" i="4" s="1"/>
  <c r="F178" i="4"/>
  <c r="K178" i="4" s="1"/>
  <c r="L177" i="4" s="1"/>
  <c r="J18" i="7"/>
  <c r="K18" i="7"/>
  <c r="L18" i="7" s="1"/>
  <c r="M18" i="7"/>
  <c r="F105" i="4"/>
  <c r="K105" i="4" s="1"/>
  <c r="F110" i="4"/>
  <c r="K110" i="4" s="1"/>
  <c r="N37" i="7"/>
  <c r="V37" i="7"/>
  <c r="F123" i="4"/>
  <c r="K123" i="4" s="1"/>
  <c r="V47" i="7"/>
  <c r="N47" i="7"/>
  <c r="J78" i="7"/>
  <c r="M78" i="7"/>
  <c r="K78" i="7"/>
  <c r="L78" i="7" s="1"/>
  <c r="N41" i="7"/>
  <c r="V41" i="7"/>
  <c r="N26" i="7"/>
  <c r="V26" i="7"/>
  <c r="F188" i="4"/>
  <c r="K188" i="4" s="1"/>
  <c r="F196" i="4"/>
  <c r="K196" i="4" s="1"/>
  <c r="K14" i="7"/>
  <c r="L14" i="7" s="1"/>
  <c r="J14" i="7"/>
  <c r="M14" i="7"/>
  <c r="M85" i="7"/>
  <c r="J85" i="7"/>
  <c r="K85" i="7"/>
  <c r="L85" i="7" s="1"/>
  <c r="N83" i="7"/>
  <c r="V83" i="7"/>
  <c r="F22" i="4"/>
  <c r="K22" i="4" s="1"/>
  <c r="F104" i="4"/>
  <c r="K104" i="4" s="1"/>
  <c r="F15" i="4"/>
  <c r="K15" i="4" s="1"/>
  <c r="F90" i="4"/>
  <c r="K90" i="4" s="1"/>
  <c r="V95" i="7"/>
  <c r="N95" i="7"/>
  <c r="F161" i="4"/>
  <c r="K161" i="4" s="1"/>
  <c r="K94" i="7"/>
  <c r="L94" i="7" s="1"/>
  <c r="J94" i="7"/>
  <c r="M94" i="7"/>
  <c r="K45" i="7"/>
  <c r="L45" i="7" s="1"/>
  <c r="J45" i="7"/>
  <c r="M45" i="7"/>
  <c r="F52" i="4"/>
  <c r="K52" i="4" s="1"/>
  <c r="J26" i="7"/>
  <c r="M26" i="7"/>
  <c r="K26" i="7"/>
  <c r="L26" i="7" s="1"/>
  <c r="V70" i="7"/>
  <c r="N70" i="7"/>
  <c r="V89" i="7"/>
  <c r="N89" i="7"/>
  <c r="F88" i="4"/>
  <c r="K88" i="4" s="1"/>
  <c r="J31" i="7"/>
  <c r="K31" i="7"/>
  <c r="L31" i="7" s="1"/>
  <c r="M31" i="7"/>
  <c r="F26" i="4"/>
  <c r="K26" i="4" s="1"/>
  <c r="F146" i="4"/>
  <c r="K146" i="4" s="1"/>
  <c r="N29" i="7"/>
  <c r="V29" i="7"/>
  <c r="F54" i="4"/>
  <c r="K54" i="4" s="1"/>
  <c r="V45" i="7"/>
  <c r="N45" i="7"/>
  <c r="V77" i="7"/>
  <c r="N77" i="7"/>
  <c r="V74" i="7"/>
  <c r="N74" i="7"/>
  <c r="F159" i="4"/>
  <c r="K159" i="4" s="1"/>
  <c r="N32" i="7"/>
  <c r="V32" i="7"/>
  <c r="F76" i="4"/>
  <c r="K76" i="4" s="1"/>
  <c r="V64" i="7"/>
  <c r="N64" i="7"/>
  <c r="N44" i="7"/>
  <c r="V44" i="7"/>
  <c r="F120" i="4"/>
  <c r="K120" i="4" s="1"/>
  <c r="F141" i="4"/>
  <c r="K141" i="4" s="1"/>
  <c r="F40" i="4"/>
  <c r="K40" i="4" s="1"/>
  <c r="F32" i="4"/>
  <c r="K32" i="4" s="1"/>
  <c r="F29" i="4"/>
  <c r="K29" i="4" s="1"/>
  <c r="L28" i="4" s="1"/>
  <c r="F57" i="4"/>
  <c r="K57" i="4" s="1"/>
  <c r="F183" i="4"/>
  <c r="K183" i="4" s="1"/>
  <c r="M58" i="7"/>
  <c r="K58" i="7"/>
  <c r="L58" i="7" s="1"/>
  <c r="J58" i="7"/>
  <c r="M75" i="7"/>
  <c r="J75" i="7"/>
  <c r="K75" i="7"/>
  <c r="L75" i="7" s="1"/>
  <c r="F38" i="4"/>
  <c r="K38" i="4" s="1"/>
  <c r="M35" i="7"/>
  <c r="K35" i="7"/>
  <c r="L35" i="7" s="1"/>
  <c r="J35" i="7"/>
  <c r="F165" i="4"/>
  <c r="K165" i="4" s="1"/>
  <c r="V6" i="7"/>
  <c r="N6" i="7"/>
  <c r="F81" i="4"/>
  <c r="K81" i="4" s="1"/>
  <c r="J4" i="7"/>
  <c r="K4" i="7"/>
  <c r="L4" i="7" s="1"/>
  <c r="M4" i="7"/>
  <c r="V38" i="7"/>
  <c r="N38" i="7"/>
  <c r="N93" i="7"/>
  <c r="V93" i="7"/>
  <c r="K44" i="7"/>
  <c r="L44" i="7" s="1"/>
  <c r="J44" i="7"/>
  <c r="M44" i="7"/>
  <c r="F58" i="4"/>
  <c r="K58" i="4" s="1"/>
  <c r="N17" i="7"/>
  <c r="V17" i="7"/>
  <c r="V16" i="7"/>
  <c r="N16" i="7"/>
  <c r="J49" i="7"/>
  <c r="M49" i="7"/>
  <c r="K49" i="7"/>
  <c r="L49" i="7" s="1"/>
  <c r="F25" i="4"/>
  <c r="K25" i="4" s="1"/>
  <c r="J23" i="7"/>
  <c r="M23" i="7"/>
  <c r="K23" i="7"/>
  <c r="L23" i="7" s="1"/>
  <c r="F80" i="4"/>
  <c r="K80" i="4" s="1"/>
  <c r="F111" i="4"/>
  <c r="K111" i="4" s="1"/>
  <c r="F82" i="4"/>
  <c r="K82" i="4" s="1"/>
  <c r="F177" i="4"/>
  <c r="K177" i="4" s="1"/>
  <c r="M69" i="7"/>
  <c r="J69" i="7"/>
  <c r="K69" i="7"/>
  <c r="L69" i="7" s="1"/>
  <c r="F53" i="4"/>
  <c r="K53" i="4" s="1"/>
  <c r="L52" i="4" s="1"/>
  <c r="J83" i="7"/>
  <c r="K83" i="7"/>
  <c r="L83" i="7" s="1"/>
  <c r="M83" i="7"/>
  <c r="N18" i="7"/>
  <c r="V18" i="7"/>
  <c r="N3" i="7"/>
  <c r="V3" i="7"/>
  <c r="F169" i="4"/>
  <c r="K169" i="4" s="1"/>
  <c r="F101" i="4"/>
  <c r="K101" i="4" s="1"/>
  <c r="F59" i="4"/>
  <c r="K59" i="4" s="1"/>
  <c r="F115" i="4"/>
  <c r="K115" i="4" s="1"/>
  <c r="F131" i="4"/>
  <c r="K131" i="4" s="1"/>
  <c r="L130" i="4" s="1"/>
  <c r="F93" i="4"/>
  <c r="K93" i="4" s="1"/>
  <c r="L92" i="4" s="1"/>
  <c r="F151" i="4"/>
  <c r="K151" i="4" s="1"/>
  <c r="F117" i="4"/>
  <c r="K117" i="4" s="1"/>
  <c r="F170" i="4"/>
  <c r="K170" i="4" s="1"/>
  <c r="F173" i="4"/>
  <c r="K173" i="4" s="1"/>
  <c r="N82" i="7"/>
  <c r="V82" i="7"/>
  <c r="F198" i="4"/>
  <c r="K198" i="4" s="1"/>
  <c r="L197" i="4" s="1"/>
  <c r="F135" i="4"/>
  <c r="K135" i="4" s="1"/>
  <c r="J48" i="7"/>
  <c r="M48" i="7"/>
  <c r="K48" i="7"/>
  <c r="L48" i="7" s="1"/>
  <c r="V60" i="7"/>
  <c r="N60" i="7"/>
  <c r="V51" i="7"/>
  <c r="N51" i="7"/>
  <c r="F75" i="4"/>
  <c r="K75" i="4" s="1"/>
  <c r="F98" i="4"/>
  <c r="K98" i="4" s="1"/>
  <c r="F36" i="4"/>
  <c r="K36" i="4" s="1"/>
  <c r="L35" i="4" s="1"/>
  <c r="F60" i="4"/>
  <c r="K60" i="4" s="1"/>
  <c r="F69" i="4"/>
  <c r="K69" i="4" s="1"/>
  <c r="F44" i="4"/>
  <c r="K44" i="4" s="1"/>
  <c r="N66" i="7"/>
  <c r="V66" i="7"/>
  <c r="F107" i="4"/>
  <c r="K107" i="4" s="1"/>
  <c r="F171" i="4"/>
  <c r="K171" i="4" s="1"/>
  <c r="L170" i="4" s="1"/>
  <c r="V71" i="7"/>
  <c r="N71" i="7"/>
  <c r="F199" i="4"/>
  <c r="K199" i="4" s="1"/>
  <c r="F133" i="4"/>
  <c r="K133" i="4" s="1"/>
  <c r="K68" i="7"/>
  <c r="L68" i="7" s="1"/>
  <c r="J68" i="7"/>
  <c r="M68" i="7"/>
  <c r="F84" i="4"/>
  <c r="K84" i="4" s="1"/>
  <c r="F121" i="4"/>
  <c r="K121" i="4" s="1"/>
  <c r="N78" i="7"/>
  <c r="V78" i="7"/>
  <c r="V30" i="7"/>
  <c r="N30" i="7"/>
  <c r="F51" i="4"/>
  <c r="K51" i="4" s="1"/>
  <c r="N50" i="7"/>
  <c r="V50" i="7"/>
  <c r="K101" i="7"/>
  <c r="L101" i="7" s="1"/>
  <c r="M101" i="7"/>
  <c r="J101" i="7"/>
  <c r="K10" i="7"/>
  <c r="L10" i="7" s="1"/>
  <c r="J10" i="7"/>
  <c r="M10" i="7"/>
  <c r="M27" i="7"/>
  <c r="K27" i="7"/>
  <c r="L27" i="7" s="1"/>
  <c r="J27" i="7"/>
  <c r="N73" i="7"/>
  <c r="V73" i="7"/>
  <c r="F153" i="4"/>
  <c r="K153" i="4" s="1"/>
  <c r="J98" i="7"/>
  <c r="M98" i="7"/>
  <c r="K98" i="7"/>
  <c r="L98" i="7" s="1"/>
  <c r="F62" i="4"/>
  <c r="K62" i="4" s="1"/>
  <c r="J19" i="7"/>
  <c r="M19" i="7"/>
  <c r="K19" i="7"/>
  <c r="L19" i="7" s="1"/>
  <c r="F18" i="4"/>
  <c r="K18" i="4" s="1"/>
  <c r="J86" i="7"/>
  <c r="K86" i="7"/>
  <c r="L86" i="7" s="1"/>
  <c r="M86" i="7"/>
  <c r="M65" i="7"/>
  <c r="K65" i="7"/>
  <c r="L65" i="7" s="1"/>
  <c r="J65" i="7"/>
  <c r="F23" i="4"/>
  <c r="K23" i="4" s="1"/>
  <c r="L22" i="4" s="1"/>
  <c r="K60" i="7"/>
  <c r="L60" i="7" s="1"/>
  <c r="M60" i="7"/>
  <c r="J60" i="7"/>
  <c r="F150" i="4"/>
  <c r="K150" i="4" s="1"/>
  <c r="F187" i="4"/>
  <c r="K187" i="4" s="1"/>
  <c r="L186" i="4" s="1"/>
  <c r="K89" i="7"/>
  <c r="L89" i="7" s="1"/>
  <c r="M89" i="7"/>
  <c r="J89" i="7"/>
  <c r="K42" i="7"/>
  <c r="L42" i="7" s="1"/>
  <c r="J42" i="7"/>
  <c r="M42" i="7"/>
  <c r="M74" i="7"/>
  <c r="K74" i="7"/>
  <c r="L74" i="7" s="1"/>
  <c r="J74" i="7"/>
  <c r="V25" i="7"/>
  <c r="N25" i="7"/>
  <c r="V58" i="7"/>
  <c r="N58" i="7"/>
  <c r="J77" i="7"/>
  <c r="M77" i="7"/>
  <c r="K77" i="7"/>
  <c r="L77" i="7" s="1"/>
  <c r="V36" i="7"/>
  <c r="N36" i="7"/>
  <c r="V39" i="7"/>
  <c r="N39" i="7"/>
  <c r="K54" i="7"/>
  <c r="L54" i="7" s="1"/>
  <c r="M54" i="7"/>
  <c r="J54" i="7"/>
  <c r="M28" i="7"/>
  <c r="J28" i="7"/>
  <c r="K28" i="7"/>
  <c r="L28" i="7" s="1"/>
  <c r="F136" i="4"/>
  <c r="K136" i="4" s="1"/>
  <c r="L135" i="4" s="1"/>
  <c r="V69" i="7"/>
  <c r="N69" i="7"/>
  <c r="F86" i="4"/>
  <c r="K86" i="4" s="1"/>
  <c r="L85" i="4" s="1"/>
  <c r="F28" i="4"/>
  <c r="K28" i="4" s="1"/>
  <c r="L27" i="4" s="1"/>
  <c r="F10" i="4"/>
  <c r="K10" i="4" s="1"/>
  <c r="F193" i="4"/>
  <c r="K193" i="4" s="1"/>
  <c r="L192" i="4" s="1"/>
  <c r="K55" i="7"/>
  <c r="L55" i="7" s="1"/>
  <c r="J55" i="7"/>
  <c r="M55" i="7"/>
  <c r="J17" i="7"/>
  <c r="M17" i="7"/>
  <c r="K17" i="7"/>
  <c r="L17" i="7" s="1"/>
  <c r="F182" i="4"/>
  <c r="K182" i="4" s="1"/>
  <c r="F144" i="4"/>
  <c r="K144" i="4" s="1"/>
  <c r="J66" i="7"/>
  <c r="M66" i="7"/>
  <c r="K66" i="7"/>
  <c r="L66" i="7" s="1"/>
  <c r="F149" i="4"/>
  <c r="K149" i="4" s="1"/>
  <c r="F73" i="4"/>
  <c r="K73" i="4" s="1"/>
  <c r="L72" i="4" s="1"/>
  <c r="F70" i="4"/>
  <c r="K70" i="4" s="1"/>
  <c r="V31" i="7"/>
  <c r="N31" i="7"/>
  <c r="F118" i="4"/>
  <c r="K118" i="4" s="1"/>
  <c r="V85" i="7"/>
  <c r="N85" i="7"/>
  <c r="N63" i="7"/>
  <c r="V63" i="7"/>
  <c r="J2" i="7"/>
  <c r="K2" i="7"/>
  <c r="L2" i="7" s="1"/>
  <c r="M2" i="7"/>
  <c r="K30" i="7"/>
  <c r="L30" i="7" s="1"/>
  <c r="M30" i="7"/>
  <c r="J30" i="7"/>
  <c r="F194" i="4"/>
  <c r="K194" i="4" s="1"/>
  <c r="K37" i="7"/>
  <c r="L37" i="7" s="1"/>
  <c r="J37" i="7"/>
  <c r="M37" i="7"/>
  <c r="F192" i="4"/>
  <c r="K192" i="4" s="1"/>
  <c r="L191" i="4" s="1"/>
  <c r="F96" i="4"/>
  <c r="K96" i="4" s="1"/>
  <c r="K8" i="7"/>
  <c r="L8" i="7" s="1"/>
  <c r="M8" i="7"/>
  <c r="J8" i="7"/>
  <c r="J81" i="7"/>
  <c r="M81" i="7"/>
  <c r="K81" i="7"/>
  <c r="L81" i="7" s="1"/>
  <c r="K62" i="7"/>
  <c r="L62" i="7" s="1"/>
  <c r="J62" i="7"/>
  <c r="M62" i="7"/>
  <c r="F11" i="4"/>
  <c r="K11" i="4" s="1"/>
  <c r="F9" i="4"/>
  <c r="K9" i="4" s="1"/>
  <c r="F50" i="4"/>
  <c r="K50" i="4" s="1"/>
  <c r="K39" i="7"/>
  <c r="L39" i="7" s="1"/>
  <c r="M39" i="7"/>
  <c r="J39" i="7"/>
  <c r="N92" i="7"/>
  <c r="V92" i="7"/>
  <c r="F17" i="4"/>
  <c r="K17" i="4" s="1"/>
  <c r="L16" i="4" s="1"/>
  <c r="F176" i="4"/>
  <c r="K176" i="4" s="1"/>
  <c r="L175" i="4" s="1"/>
  <c r="F126" i="4"/>
  <c r="K126" i="4" s="1"/>
  <c r="L125" i="4" s="1"/>
  <c r="F175" i="4"/>
  <c r="K175" i="4" s="1"/>
  <c r="F94" i="4"/>
  <c r="K94" i="4" s="1"/>
  <c r="F152" i="4"/>
  <c r="K152" i="4" s="1"/>
  <c r="F79" i="4"/>
  <c r="K79" i="4" s="1"/>
  <c r="F106" i="4"/>
  <c r="K106" i="4" s="1"/>
  <c r="L105" i="4" s="1"/>
  <c r="N59" i="7"/>
  <c r="V59" i="7"/>
  <c r="N56" i="7"/>
  <c r="V56" i="7"/>
  <c r="L165" i="4" l="1"/>
  <c r="L78" i="4"/>
  <c r="L41" i="4"/>
  <c r="L161" i="4"/>
  <c r="L99" i="4"/>
  <c r="L75" i="4"/>
  <c r="L98" i="4"/>
  <c r="L126" i="4"/>
  <c r="L37" i="4"/>
  <c r="L23" i="4"/>
  <c r="L132" i="4"/>
  <c r="L134" i="4"/>
  <c r="L68" i="4"/>
  <c r="L95" i="4"/>
  <c r="L50" i="4"/>
  <c r="L145" i="4"/>
  <c r="L160" i="4"/>
  <c r="L123" i="4"/>
  <c r="L154" i="4"/>
  <c r="L157" i="4"/>
  <c r="L6" i="4"/>
  <c r="L31" i="4"/>
  <c r="L148" i="4"/>
  <c r="L114" i="4"/>
  <c r="L140" i="4"/>
  <c r="L25" i="4"/>
  <c r="L139" i="4"/>
  <c r="L38" i="4"/>
  <c r="L187" i="4"/>
  <c r="L107" i="4"/>
  <c r="L93" i="4"/>
  <c r="L155" i="4"/>
  <c r="L14" i="4"/>
  <c r="L42" i="4"/>
  <c r="L15" i="4"/>
  <c r="L120" i="4"/>
  <c r="L63" i="4"/>
  <c r="L3" i="4"/>
  <c r="L80" i="4"/>
  <c r="L45" i="4"/>
  <c r="L152" i="4"/>
  <c r="L122" i="4"/>
  <c r="L70" i="4"/>
  <c r="L71" i="4"/>
  <c r="L110" i="4"/>
  <c r="L32" i="4"/>
  <c r="L181" i="4"/>
  <c r="L149" i="4"/>
  <c r="L49" i="4"/>
  <c r="L180" i="4"/>
  <c r="L7" i="4"/>
  <c r="L194" i="4"/>
  <c r="L178" i="4"/>
  <c r="L53" i="4"/>
  <c r="L119" i="4"/>
  <c r="L101" i="4"/>
  <c r="L104" i="4"/>
  <c r="L111" i="4"/>
  <c r="L62" i="4"/>
  <c r="L118" i="4"/>
  <c r="L174" i="4"/>
  <c r="L69" i="4"/>
  <c r="L57" i="4"/>
  <c r="L60" i="4"/>
  <c r="O61" i="7"/>
  <c r="AB61" i="7"/>
  <c r="AC61" i="7" s="1"/>
  <c r="Z61" i="7"/>
  <c r="AA61" i="7" s="1"/>
  <c r="AD61" i="7" s="1"/>
  <c r="O54" i="7"/>
  <c r="P54" i="7" s="1"/>
  <c r="Z54" i="7"/>
  <c r="AA54" i="7" s="1"/>
  <c r="L196" i="4"/>
  <c r="O69" i="7"/>
  <c r="P69" i="7" s="1"/>
  <c r="Q69" i="7" s="1"/>
  <c r="AB69" i="7"/>
  <c r="AC69" i="7" s="1"/>
  <c r="L39" i="4"/>
  <c r="L90" i="4"/>
  <c r="L167" i="4"/>
  <c r="O72" i="7"/>
  <c r="Z72" i="7" s="1"/>
  <c r="AA72" i="7" s="1"/>
  <c r="L163" i="4"/>
  <c r="O12" i="7"/>
  <c r="AB12" i="7" s="1"/>
  <c r="AC12" i="7" s="1"/>
  <c r="P12" i="7"/>
  <c r="Q12" i="7" s="1"/>
  <c r="O60" i="7"/>
  <c r="Z60" i="7" s="1"/>
  <c r="AA60" i="7" s="1"/>
  <c r="O3" i="7"/>
  <c r="P3" i="7" s="1"/>
  <c r="Q3" i="7" s="1"/>
  <c r="AB3" i="7"/>
  <c r="AC3" i="7" s="1"/>
  <c r="Z3" i="7"/>
  <c r="AA3" i="7" s="1"/>
  <c r="AD3" i="7" s="1"/>
  <c r="R3" i="7"/>
  <c r="L162" i="4"/>
  <c r="L88" i="4"/>
  <c r="L136" i="4"/>
  <c r="O7" i="7"/>
  <c r="Z7" i="7" s="1"/>
  <c r="AA7" i="7" s="1"/>
  <c r="AB7" i="7"/>
  <c r="AC7" i="7" s="1"/>
  <c r="AD7" i="7" s="1"/>
  <c r="O96" i="7"/>
  <c r="AB96" i="7" s="1"/>
  <c r="AC96" i="7" s="1"/>
  <c r="L164" i="4"/>
  <c r="O29" i="7"/>
  <c r="P29" i="7" s="1"/>
  <c r="Q29" i="7" s="1"/>
  <c r="S29" i="7" s="1"/>
  <c r="Z29" i="7"/>
  <c r="AA29" i="7" s="1"/>
  <c r="L195" i="4"/>
  <c r="O75" i="7"/>
  <c r="Z75" i="7" s="1"/>
  <c r="AA75" i="7" s="1"/>
  <c r="P75" i="7"/>
  <c r="Q75" i="7" s="1"/>
  <c r="S75" i="7" s="1"/>
  <c r="O25" i="7"/>
  <c r="AB25" i="7" s="1"/>
  <c r="AC25" i="7" s="1"/>
  <c r="L198" i="4"/>
  <c r="O18" i="7"/>
  <c r="AB18" i="7"/>
  <c r="AC18" i="7" s="1"/>
  <c r="P18" i="7"/>
  <c r="Q18" i="7" s="1"/>
  <c r="O16" i="7"/>
  <c r="AB16" i="7" s="1"/>
  <c r="AC16" i="7" s="1"/>
  <c r="O19" i="7"/>
  <c r="P19" i="7" s="1"/>
  <c r="L30" i="4"/>
  <c r="O81" i="7"/>
  <c r="P81" i="7"/>
  <c r="Q81" i="7" s="1"/>
  <c r="S81" i="7" s="1"/>
  <c r="L4" i="4"/>
  <c r="L96" i="4"/>
  <c r="O62" i="7"/>
  <c r="AB62" i="7" s="1"/>
  <c r="AC62" i="7" s="1"/>
  <c r="L17" i="4"/>
  <c r="O9" i="7"/>
  <c r="Z9" i="7" s="1"/>
  <c r="AA9" i="7" s="1"/>
  <c r="O94" i="7"/>
  <c r="Z94" i="7" s="1"/>
  <c r="AA94" i="7" s="1"/>
  <c r="O65" i="7"/>
  <c r="Z65" i="7" s="1"/>
  <c r="AA65" i="7" s="1"/>
  <c r="O34" i="7"/>
  <c r="P34" i="7" s="1"/>
  <c r="Q34" i="7" s="1"/>
  <c r="S34" i="7" s="1"/>
  <c r="AB34" i="7"/>
  <c r="AC34" i="7" s="1"/>
  <c r="R34" i="7"/>
  <c r="Z34" i="7"/>
  <c r="AA34" i="7" s="1"/>
  <c r="AD34" i="7" s="1"/>
  <c r="L166" i="4"/>
  <c r="L65" i="4"/>
  <c r="L143" i="4"/>
  <c r="O50" i="7"/>
  <c r="P50" i="7" s="1"/>
  <c r="L106" i="4"/>
  <c r="O82" i="7"/>
  <c r="AB82" i="7" s="1"/>
  <c r="AC82" i="7" s="1"/>
  <c r="L87" i="4"/>
  <c r="L89" i="4"/>
  <c r="O41" i="7"/>
  <c r="P41" i="7" s="1"/>
  <c r="O80" i="7"/>
  <c r="Z80" i="7" s="1"/>
  <c r="AA80" i="7" s="1"/>
  <c r="O40" i="7"/>
  <c r="Z40" i="7"/>
  <c r="AA40" i="7" s="1"/>
  <c r="AB40" i="7"/>
  <c r="AC40" i="7" s="1"/>
  <c r="O57" i="7"/>
  <c r="AB57" i="7" s="1"/>
  <c r="AC57" i="7" s="1"/>
  <c r="Z57" i="7"/>
  <c r="AA57" i="7" s="1"/>
  <c r="O48" i="7"/>
  <c r="P48" i="7" s="1"/>
  <c r="Q48" i="7" s="1"/>
  <c r="S48" i="7" s="1"/>
  <c r="R48" i="7"/>
  <c r="Z48" i="7"/>
  <c r="AA48" i="7" s="1"/>
  <c r="O88" i="7"/>
  <c r="Z88" i="7" s="1"/>
  <c r="AA88" i="7" s="1"/>
  <c r="L47" i="4"/>
  <c r="L153" i="4"/>
  <c r="L124" i="4"/>
  <c r="L131" i="4"/>
  <c r="O46" i="7"/>
  <c r="Z46" i="7"/>
  <c r="AA46" i="7" s="1"/>
  <c r="P46" i="7"/>
  <c r="Q46" i="7" s="1"/>
  <c r="L201" i="4"/>
  <c r="L127" i="4"/>
  <c r="O58" i="7"/>
  <c r="Z58" i="7" s="1"/>
  <c r="AA58" i="7" s="1"/>
  <c r="O52" i="7"/>
  <c r="AB52" i="7" s="1"/>
  <c r="AC52" i="7" s="1"/>
  <c r="O49" i="7"/>
  <c r="P49" i="7" s="1"/>
  <c r="Q49" i="7" s="1"/>
  <c r="S49" i="7" s="1"/>
  <c r="AB49" i="7"/>
  <c r="AC49" i="7" s="1"/>
  <c r="O53" i="7"/>
  <c r="Z53" i="7" s="1"/>
  <c r="AA53" i="7" s="1"/>
  <c r="O8" i="7"/>
  <c r="AB8" i="7" s="1"/>
  <c r="AC8" i="7" s="1"/>
  <c r="Z8" i="7"/>
  <c r="AA8" i="7" s="1"/>
  <c r="O79" i="7"/>
  <c r="AB79" i="7" s="1"/>
  <c r="AC79" i="7" s="1"/>
  <c r="L86" i="4"/>
  <c r="O84" i="7"/>
  <c r="AB84" i="7" s="1"/>
  <c r="AC84" i="7" s="1"/>
  <c r="Z84" i="7"/>
  <c r="AA84" i="7" s="1"/>
  <c r="AD84" i="7" s="1"/>
  <c r="P84" i="7"/>
  <c r="Q84" i="7" s="1"/>
  <c r="O27" i="7"/>
  <c r="AB27" i="7"/>
  <c r="AC27" i="7" s="1"/>
  <c r="P27" i="7"/>
  <c r="Q27" i="7" s="1"/>
  <c r="S27" i="7" s="1"/>
  <c r="O28" i="7"/>
  <c r="Z28" i="7" s="1"/>
  <c r="AA28" i="7" s="1"/>
  <c r="O11" i="7"/>
  <c r="Z11" i="7" s="1"/>
  <c r="AA11" i="7" s="1"/>
  <c r="AB11" i="7"/>
  <c r="AC11" i="7" s="1"/>
  <c r="L44" i="4"/>
  <c r="L193" i="4"/>
  <c r="L138" i="4"/>
  <c r="O24" i="7"/>
  <c r="AB24" i="7" s="1"/>
  <c r="AC24" i="7" s="1"/>
  <c r="L91" i="4"/>
  <c r="L26" i="4"/>
  <c r="O31" i="7"/>
  <c r="AB31" i="7" s="1"/>
  <c r="AC31" i="7" s="1"/>
  <c r="P31" i="7"/>
  <c r="Q31" i="7" s="1"/>
  <c r="O68" i="7"/>
  <c r="AB68" i="7"/>
  <c r="AC68" i="7" s="1"/>
  <c r="Z68" i="7"/>
  <c r="AA68" i="7" s="1"/>
  <c r="AD68" i="7" s="1"/>
  <c r="O76" i="7"/>
  <c r="AB76" i="7" s="1"/>
  <c r="AC76" i="7" s="1"/>
  <c r="O92" i="7"/>
  <c r="AB92" i="7"/>
  <c r="AC92" i="7" s="1"/>
  <c r="P92" i="7"/>
  <c r="Q92" i="7" s="1"/>
  <c r="S92" i="7" s="1"/>
  <c r="Z92" i="7"/>
  <c r="AA92" i="7" s="1"/>
  <c r="AD92" i="7" s="1"/>
  <c r="R92" i="7"/>
  <c r="O17" i="7"/>
  <c r="AB17" i="7" s="1"/>
  <c r="AC17" i="7" s="1"/>
  <c r="O26" i="7"/>
  <c r="P26" i="7" s="1"/>
  <c r="Q26" i="7" s="1"/>
  <c r="S26" i="7" s="1"/>
  <c r="O98" i="7"/>
  <c r="AB98" i="7" s="1"/>
  <c r="AC98" i="7" s="1"/>
  <c r="O14" i="7"/>
  <c r="AB14" i="7" s="1"/>
  <c r="AC14" i="7" s="1"/>
  <c r="O10" i="7"/>
  <c r="P10" i="7" s="1"/>
  <c r="AB10" i="7"/>
  <c r="AC10" i="7" s="1"/>
  <c r="O13" i="7"/>
  <c r="P13" i="7" s="1"/>
  <c r="O89" i="7"/>
  <c r="L156" i="4"/>
  <c r="L199" i="4"/>
  <c r="L19" i="4"/>
  <c r="O66" i="7"/>
  <c r="AB66" i="7" s="1"/>
  <c r="AC66" i="7" s="1"/>
  <c r="L169" i="4"/>
  <c r="L103" i="4"/>
  <c r="L54" i="4"/>
  <c r="L10" i="4"/>
  <c r="O39" i="7"/>
  <c r="Z39" i="7" s="1"/>
  <c r="AA39" i="7" s="1"/>
  <c r="L61" i="4"/>
  <c r="O30" i="7"/>
  <c r="L116" i="4"/>
  <c r="L176" i="4"/>
  <c r="O32" i="7"/>
  <c r="P32" i="7" s="1"/>
  <c r="Z32" i="7"/>
  <c r="AA32" i="7" s="1"/>
  <c r="O70" i="7"/>
  <c r="Z70" i="7" s="1"/>
  <c r="AA70" i="7" s="1"/>
  <c r="L21" i="4"/>
  <c r="O100" i="7"/>
  <c r="AB100" i="7" s="1"/>
  <c r="AC100" i="7" s="1"/>
  <c r="L184" i="4"/>
  <c r="O99" i="7"/>
  <c r="L147" i="4"/>
  <c r="O43" i="7"/>
  <c r="AB43" i="7" s="1"/>
  <c r="AC43" i="7" s="1"/>
  <c r="O95" i="7"/>
  <c r="P95" i="7" s="1"/>
  <c r="O44" i="7"/>
  <c r="Z44" i="7" s="1"/>
  <c r="AA44" i="7" s="1"/>
  <c r="O64" i="7"/>
  <c r="AB64" i="7" s="1"/>
  <c r="AC64" i="7" s="1"/>
  <c r="P64" i="7"/>
  <c r="Q64" i="7" s="1"/>
  <c r="S64" i="7" s="1"/>
  <c r="R64" i="7"/>
  <c r="L172" i="4"/>
  <c r="L66" i="4"/>
  <c r="O2" i="7"/>
  <c r="AB2" i="7" s="1"/>
  <c r="AC2" i="7" s="1"/>
  <c r="Z2" i="7"/>
  <c r="AA2" i="7" s="1"/>
  <c r="L8" i="4"/>
  <c r="O56" i="7"/>
  <c r="Z56" i="7" s="1"/>
  <c r="AA56" i="7" s="1"/>
  <c r="L43" i="4"/>
  <c r="L150" i="4"/>
  <c r="L81" i="4"/>
  <c r="O93" i="7"/>
  <c r="Z93" i="7" s="1"/>
  <c r="AA93" i="7" s="1"/>
  <c r="AB93" i="7"/>
  <c r="AC93" i="7" s="1"/>
  <c r="L158" i="4"/>
  <c r="O47" i="7"/>
  <c r="P47" i="7" s="1"/>
  <c r="O21" i="7"/>
  <c r="P21" i="7" s="1"/>
  <c r="Z21" i="7"/>
  <c r="AA21" i="7" s="1"/>
  <c r="O91" i="7"/>
  <c r="Z91" i="7" s="1"/>
  <c r="AA91" i="7" s="1"/>
  <c r="L34" i="4"/>
  <c r="O42" i="7"/>
  <c r="Z42" i="7" s="1"/>
  <c r="AA42" i="7" s="1"/>
  <c r="P42" i="7"/>
  <c r="Q42" i="7" s="1"/>
  <c r="S42" i="7" s="1"/>
  <c r="AB42" i="7"/>
  <c r="AC42" i="7" s="1"/>
  <c r="AD42" i="7" s="1"/>
  <c r="R42" i="7"/>
  <c r="L189" i="4"/>
  <c r="O22" i="7"/>
  <c r="Z22" i="7" s="1"/>
  <c r="AA22" i="7" s="1"/>
  <c r="O87" i="7"/>
  <c r="Z87" i="7" s="1"/>
  <c r="AA87" i="7" s="1"/>
  <c r="L18" i="4"/>
  <c r="O5" i="7"/>
  <c r="AB5" i="7" s="1"/>
  <c r="AC5" i="7" s="1"/>
  <c r="Z5" i="7"/>
  <c r="AA5" i="7" s="1"/>
  <c r="AD5" i="7" s="1"/>
  <c r="O71" i="7"/>
  <c r="Z71" i="7" s="1"/>
  <c r="AA71" i="7" s="1"/>
  <c r="AB71" i="7"/>
  <c r="AC71" i="7" s="1"/>
  <c r="O38" i="7"/>
  <c r="P38" i="7" s="1"/>
  <c r="L121" i="4"/>
  <c r="O59" i="7"/>
  <c r="O36" i="7"/>
  <c r="AB36" i="7" s="1"/>
  <c r="AC36" i="7" s="1"/>
  <c r="P36" i="7"/>
  <c r="Q36" i="7" s="1"/>
  <c r="S36" i="7" s="1"/>
  <c r="R36" i="7"/>
  <c r="L59" i="4"/>
  <c r="L79" i="4"/>
  <c r="L94" i="4"/>
  <c r="O20" i="7"/>
  <c r="Z20" i="7" s="1"/>
  <c r="AA20" i="7" s="1"/>
  <c r="P20" i="7"/>
  <c r="Q20" i="7" s="1"/>
  <c r="R20" i="7"/>
  <c r="L188" i="4"/>
  <c r="O63" i="7"/>
  <c r="P63" i="7" s="1"/>
  <c r="L182" i="4"/>
  <c r="L33" i="4"/>
  <c r="O101" i="7"/>
  <c r="Z101" i="7" s="1"/>
  <c r="AA101" i="7" s="1"/>
  <c r="AB101" i="7"/>
  <c r="AC101" i="7" s="1"/>
  <c r="AD101" i="7" s="1"/>
  <c r="L142" i="4"/>
  <c r="L11" i="4"/>
  <c r="O85" i="7"/>
  <c r="P85" i="7" s="1"/>
  <c r="AB85" i="7"/>
  <c r="AC85" i="7" s="1"/>
  <c r="L83" i="4"/>
  <c r="L97" i="4"/>
  <c r="L58" i="4"/>
  <c r="L55" i="4"/>
  <c r="L179" i="4"/>
  <c r="L5" i="4"/>
  <c r="L108" i="4"/>
  <c r="O67" i="7"/>
  <c r="AB67" i="7" s="1"/>
  <c r="AC67" i="7" s="1"/>
  <c r="L20" i="4"/>
  <c r="L82" i="4"/>
  <c r="L159" i="4"/>
  <c r="L46" i="4"/>
  <c r="L13" i="4"/>
  <c r="L200" i="4"/>
  <c r="O6" i="7"/>
  <c r="P6" i="7" s="1"/>
  <c r="Q6" i="7" s="1"/>
  <c r="S6" i="7" s="1"/>
  <c r="O90" i="7"/>
  <c r="P90" i="7" s="1"/>
  <c r="Q90" i="7" s="1"/>
  <c r="AB90" i="7"/>
  <c r="AC90" i="7" s="1"/>
  <c r="Z90" i="7"/>
  <c r="AA90" i="7" s="1"/>
  <c r="AD90" i="7" s="1"/>
  <c r="O83" i="7"/>
  <c r="Z83" i="7"/>
  <c r="AA83" i="7" s="1"/>
  <c r="AB83" i="7"/>
  <c r="AC83" i="7" s="1"/>
  <c r="O23" i="7"/>
  <c r="Z23" i="7"/>
  <c r="AA23" i="7" s="1"/>
  <c r="AB23" i="7"/>
  <c r="AC23" i="7" s="1"/>
  <c r="O78" i="7"/>
  <c r="Z78" i="7" s="1"/>
  <c r="AA78" i="7" s="1"/>
  <c r="O77" i="7"/>
  <c r="Z77" i="7" s="1"/>
  <c r="AA77" i="7" s="1"/>
  <c r="L151" i="4"/>
  <c r="O73" i="7"/>
  <c r="Z73" i="7" s="1"/>
  <c r="AA73" i="7" s="1"/>
  <c r="AB73" i="7"/>
  <c r="AC73" i="7" s="1"/>
  <c r="AD73" i="7" s="1"/>
  <c r="P73" i="7"/>
  <c r="Q73" i="7" s="1"/>
  <c r="S73" i="7" s="1"/>
  <c r="L74" i="4"/>
  <c r="L100" i="4"/>
  <c r="O45" i="7"/>
  <c r="L51" i="4"/>
  <c r="O37" i="7"/>
  <c r="AB37" i="7" s="1"/>
  <c r="AC37" i="7" s="1"/>
  <c r="P37" i="7"/>
  <c r="Q37" i="7" s="1"/>
  <c r="S37" i="7" s="1"/>
  <c r="L137" i="4"/>
  <c r="L173" i="4"/>
  <c r="L76" i="4"/>
  <c r="L67" i="4"/>
  <c r="L36" i="4"/>
  <c r="L183" i="4"/>
  <c r="L112" i="4"/>
  <c r="O15" i="7"/>
  <c r="AB15" i="7" s="1"/>
  <c r="AC15" i="7" s="1"/>
  <c r="O74" i="7"/>
  <c r="AB74" i="7" s="1"/>
  <c r="AC74" i="7" s="1"/>
  <c r="O33" i="7"/>
  <c r="P33" i="7" s="1"/>
  <c r="AB33" i="7"/>
  <c r="AC33" i="7" s="1"/>
  <c r="O55" i="7"/>
  <c r="AB55" i="7" s="1"/>
  <c r="AC55" i="7" s="1"/>
  <c r="L29" i="4"/>
  <c r="O97" i="7"/>
  <c r="Z97" i="7" s="1"/>
  <c r="AA97" i="7" s="1"/>
  <c r="L117" i="4"/>
  <c r="L9" i="4"/>
  <c r="O51" i="7"/>
  <c r="Z51" i="7" s="1"/>
  <c r="AA51" i="7" s="1"/>
  <c r="L168" i="4"/>
  <c r="L24" i="4"/>
  <c r="L56" i="4"/>
  <c r="L109" i="4"/>
  <c r="O35" i="7"/>
  <c r="Z35" i="7" s="1"/>
  <c r="AA35" i="7" s="1"/>
  <c r="AB35" i="7"/>
  <c r="AC35" i="7" s="1"/>
  <c r="AD35" i="7" s="1"/>
  <c r="L171" i="4"/>
  <c r="O4" i="7"/>
  <c r="P4" i="7" s="1"/>
  <c r="Q4" i="7" s="1"/>
  <c r="L144" i="4"/>
  <c r="O86" i="7"/>
  <c r="AB86" i="7"/>
  <c r="AC86" i="7" s="1"/>
  <c r="P86" i="7"/>
  <c r="Q86" i="7" s="1"/>
  <c r="S86" i="7" s="1"/>
  <c r="L73" i="4"/>
  <c r="L190" i="4"/>
  <c r="L12" i="4"/>
  <c r="Z67" i="7" l="1"/>
  <c r="AA67" i="7" s="1"/>
  <c r="AD67" i="7" s="1"/>
  <c r="AB20" i="7"/>
  <c r="AC20" i="7" s="1"/>
  <c r="AD20" i="7" s="1"/>
  <c r="AB22" i="7"/>
  <c r="AC22" i="7" s="1"/>
  <c r="Z52" i="7"/>
  <c r="AA52" i="7" s="1"/>
  <c r="AB9" i="7"/>
  <c r="AC9" i="7" s="1"/>
  <c r="AD9" i="7" s="1"/>
  <c r="AB29" i="7"/>
  <c r="AC29" i="7" s="1"/>
  <c r="P76" i="7"/>
  <c r="Q76" i="7" s="1"/>
  <c r="S76" i="7" s="1"/>
  <c r="P16" i="7"/>
  <c r="Q16" i="7" s="1"/>
  <c r="S16" i="7" s="1"/>
  <c r="AD2" i="7"/>
  <c r="P80" i="7"/>
  <c r="Q80" i="7" s="1"/>
  <c r="S80" i="7" s="1"/>
  <c r="AD22" i="7"/>
  <c r="AD29" i="7"/>
  <c r="AB70" i="7"/>
  <c r="AC70" i="7" s="1"/>
  <c r="AD70" i="7" s="1"/>
  <c r="Z24" i="7"/>
  <c r="AA24" i="7" s="1"/>
  <c r="AD24" i="7" s="1"/>
  <c r="Z49" i="7"/>
  <c r="AA49" i="7" s="1"/>
  <c r="AD49" i="7" s="1"/>
  <c r="AB65" i="7"/>
  <c r="AC65" i="7" s="1"/>
  <c r="P60" i="7"/>
  <c r="P87" i="7"/>
  <c r="Q87" i="7" s="1"/>
  <c r="S87" i="7" s="1"/>
  <c r="AB97" i="7"/>
  <c r="AC97" i="7" s="1"/>
  <c r="AD97" i="7" s="1"/>
  <c r="R49" i="7"/>
  <c r="T49" i="7" s="1"/>
  <c r="W49" i="7" s="1"/>
  <c r="R75" i="7"/>
  <c r="Q32" i="7"/>
  <c r="R32" i="7"/>
  <c r="AD40" i="7"/>
  <c r="R90" i="7"/>
  <c r="AB38" i="7"/>
  <c r="AC38" i="7" s="1"/>
  <c r="AB91" i="7"/>
  <c r="AC91" i="7" s="1"/>
  <c r="AD91" i="7" s="1"/>
  <c r="P14" i="7"/>
  <c r="Q14" i="7" s="1"/>
  <c r="S14" i="7" s="1"/>
  <c r="R12" i="7"/>
  <c r="U12" i="7" s="1"/>
  <c r="P98" i="7"/>
  <c r="AB50" i="7"/>
  <c r="AC50" i="7" s="1"/>
  <c r="P44" i="7"/>
  <c r="AB53" i="7"/>
  <c r="AC53" i="7" s="1"/>
  <c r="AD53" i="7" s="1"/>
  <c r="AB88" i="7"/>
  <c r="AC88" i="7" s="1"/>
  <c r="AD88" i="7" s="1"/>
  <c r="Z96" i="7"/>
  <c r="AA96" i="7" s="1"/>
  <c r="AD96" i="7" s="1"/>
  <c r="AB72" i="7"/>
  <c r="AC72" i="7" s="1"/>
  <c r="AD72" i="7" s="1"/>
  <c r="P53" i="7"/>
  <c r="P96" i="7"/>
  <c r="Z41" i="7"/>
  <c r="AA41" i="7" s="1"/>
  <c r="AD93" i="7"/>
  <c r="Z33" i="7"/>
  <c r="AA33" i="7" s="1"/>
  <c r="Z43" i="7"/>
  <c r="AA43" i="7" s="1"/>
  <c r="AD43" i="7" s="1"/>
  <c r="AB48" i="7"/>
  <c r="AC48" i="7" s="1"/>
  <c r="AD48" i="7" s="1"/>
  <c r="R18" i="7"/>
  <c r="U18" i="7" s="1"/>
  <c r="AB4" i="7"/>
  <c r="AC4" i="7" s="1"/>
  <c r="AB78" i="7"/>
  <c r="AC78" i="7" s="1"/>
  <c r="R69" i="7"/>
  <c r="T69" i="7" s="1"/>
  <c r="W69" i="7" s="1"/>
  <c r="R4" i="7"/>
  <c r="U4" i="7" s="1"/>
  <c r="Z4" i="7"/>
  <c r="AA4" i="7" s="1"/>
  <c r="AD4" i="7" s="1"/>
  <c r="AD78" i="7"/>
  <c r="P56" i="7"/>
  <c r="Q56" i="7" s="1"/>
  <c r="S56" i="7" s="1"/>
  <c r="P66" i="7"/>
  <c r="Q66" i="7" s="1"/>
  <c r="S66" i="7" s="1"/>
  <c r="P28" i="7"/>
  <c r="Z69" i="7"/>
  <c r="AA69" i="7" s="1"/>
  <c r="AD69" i="7" s="1"/>
  <c r="Q95" i="7"/>
  <c r="R95" i="7"/>
  <c r="Q47" i="7"/>
  <c r="S47" i="7" s="1"/>
  <c r="R47" i="7"/>
  <c r="Q54" i="7"/>
  <c r="R54" i="7"/>
  <c r="Q38" i="7"/>
  <c r="S38" i="7" s="1"/>
  <c r="R38" i="7"/>
  <c r="Q19" i="7"/>
  <c r="S19" i="7" s="1"/>
  <c r="R19" i="7"/>
  <c r="Q13" i="7"/>
  <c r="S13" i="7" s="1"/>
  <c r="R13" i="7"/>
  <c r="Q21" i="7"/>
  <c r="S21" i="7" s="1"/>
  <c r="R21" i="7"/>
  <c r="Q50" i="7"/>
  <c r="S50" i="7" s="1"/>
  <c r="R50" i="7"/>
  <c r="Q41" i="7"/>
  <c r="R41" i="7"/>
  <c r="Q63" i="7"/>
  <c r="R63" i="7"/>
  <c r="Q33" i="7"/>
  <c r="S33" i="7" s="1"/>
  <c r="R33" i="7"/>
  <c r="Q85" i="7"/>
  <c r="S85" i="7" s="1"/>
  <c r="R85" i="7"/>
  <c r="Q10" i="7"/>
  <c r="S10" i="7" s="1"/>
  <c r="R10" i="7"/>
  <c r="AD27" i="7"/>
  <c r="U34" i="7"/>
  <c r="T34" i="7"/>
  <c r="W34" i="7" s="1"/>
  <c r="P45" i="7"/>
  <c r="P30" i="7"/>
  <c r="AD64" i="7"/>
  <c r="AB63" i="7"/>
  <c r="AC63" i="7" s="1"/>
  <c r="P22" i="7"/>
  <c r="Z100" i="7"/>
  <c r="AA100" i="7" s="1"/>
  <c r="AD100" i="7" s="1"/>
  <c r="AB39" i="7"/>
  <c r="AC39" i="7" s="1"/>
  <c r="AD39" i="7" s="1"/>
  <c r="Z13" i="7"/>
  <c r="AA13" i="7" s="1"/>
  <c r="Z17" i="7"/>
  <c r="AA17" i="7" s="1"/>
  <c r="AD17" i="7" s="1"/>
  <c r="P25" i="7"/>
  <c r="U49" i="7"/>
  <c r="Z86" i="7"/>
  <c r="AA86" i="7" s="1"/>
  <c r="AD86" i="7" s="1"/>
  <c r="Z15" i="7"/>
  <c r="AA15" i="7" s="1"/>
  <c r="AD15" i="7" s="1"/>
  <c r="Z27" i="7"/>
  <c r="AA27" i="7" s="1"/>
  <c r="R73" i="7"/>
  <c r="P83" i="7"/>
  <c r="Z64" i="7"/>
  <c r="AA64" i="7" s="1"/>
  <c r="R84" i="7"/>
  <c r="R81" i="7"/>
  <c r="Z25" i="7"/>
  <c r="AA25" i="7" s="1"/>
  <c r="AD25" i="7" s="1"/>
  <c r="P7" i="7"/>
  <c r="P72" i="7"/>
  <c r="AD71" i="7"/>
  <c r="AB44" i="7"/>
  <c r="AC44" i="7" s="1"/>
  <c r="AD44" i="7" s="1"/>
  <c r="P24" i="7"/>
  <c r="P52" i="7"/>
  <c r="U48" i="7"/>
  <c r="Y48" i="7" s="1"/>
  <c r="T48" i="7"/>
  <c r="W48" i="7" s="1"/>
  <c r="P65" i="7"/>
  <c r="AB75" i="7"/>
  <c r="AC75" i="7" s="1"/>
  <c r="AD75" i="7" s="1"/>
  <c r="T3" i="7"/>
  <c r="W3" i="7" s="1"/>
  <c r="U3" i="7"/>
  <c r="Z63" i="7"/>
  <c r="AA63" i="7" s="1"/>
  <c r="Z38" i="7"/>
  <c r="AA38" i="7" s="1"/>
  <c r="P39" i="7"/>
  <c r="T90" i="7"/>
  <c r="W90" i="7" s="1"/>
  <c r="U90" i="7"/>
  <c r="R6" i="7"/>
  <c r="S20" i="7"/>
  <c r="AB95" i="7"/>
  <c r="AC95" i="7" s="1"/>
  <c r="Z10" i="7"/>
  <c r="AA10" i="7" s="1"/>
  <c r="AD10" i="7" s="1"/>
  <c r="AB77" i="7"/>
  <c r="AC77" i="7" s="1"/>
  <c r="AD77" i="7" s="1"/>
  <c r="Z6" i="7"/>
  <c r="AA6" i="7" s="1"/>
  <c r="AD6" i="7" s="1"/>
  <c r="P71" i="7"/>
  <c r="AB58" i="7"/>
  <c r="AC58" i="7" s="1"/>
  <c r="AD58" i="7" s="1"/>
  <c r="P82" i="7"/>
  <c r="P94" i="7"/>
  <c r="AB19" i="7"/>
  <c r="AC19" i="7" s="1"/>
  <c r="Z79" i="7"/>
  <c r="AA79" i="7" s="1"/>
  <c r="AD79" i="7" s="1"/>
  <c r="P55" i="7"/>
  <c r="P35" i="7"/>
  <c r="Z55" i="7"/>
  <c r="AA55" i="7" s="1"/>
  <c r="AD55" i="7" s="1"/>
  <c r="P77" i="7"/>
  <c r="AB6" i="7"/>
  <c r="AC6" i="7" s="1"/>
  <c r="P70" i="7"/>
  <c r="R76" i="7"/>
  <c r="AB94" i="7"/>
  <c r="AC94" i="7" s="1"/>
  <c r="AD94" i="7" s="1"/>
  <c r="R29" i="7"/>
  <c r="S3" i="7"/>
  <c r="S69" i="7"/>
  <c r="P59" i="7"/>
  <c r="T64" i="7"/>
  <c r="W64" i="7" s="1"/>
  <c r="U64" i="7"/>
  <c r="X64" i="7" s="1"/>
  <c r="Z89" i="7"/>
  <c r="AA89" i="7" s="1"/>
  <c r="T20" i="7"/>
  <c r="W20" i="7" s="1"/>
  <c r="U20" i="7"/>
  <c r="AD65" i="7"/>
  <c r="S90" i="7"/>
  <c r="Z95" i="7"/>
  <c r="AA95" i="7" s="1"/>
  <c r="P79" i="7"/>
  <c r="P58" i="7"/>
  <c r="AD57" i="7"/>
  <c r="Z82" i="7"/>
  <c r="AA82" i="7" s="1"/>
  <c r="AD82" i="7" s="1"/>
  <c r="Z19" i="7"/>
  <c r="AA19" i="7" s="1"/>
  <c r="R37" i="7"/>
  <c r="Z85" i="7"/>
  <c r="AA85" i="7" s="1"/>
  <c r="AD85" i="7" s="1"/>
  <c r="P5" i="7"/>
  <c r="P91" i="7"/>
  <c r="AB56" i="7"/>
  <c r="AC56" i="7" s="1"/>
  <c r="AD56" i="7" s="1"/>
  <c r="Z14" i="7"/>
  <c r="AA14" i="7" s="1"/>
  <c r="AD14" i="7" s="1"/>
  <c r="AD11" i="7"/>
  <c r="R16" i="7"/>
  <c r="P17" i="7"/>
  <c r="P93" i="7"/>
  <c r="AB41" i="7"/>
  <c r="AC41" i="7" s="1"/>
  <c r="P97" i="7"/>
  <c r="U36" i="7"/>
  <c r="T36" i="7"/>
  <c r="W36" i="7" s="1"/>
  <c r="Z37" i="7"/>
  <c r="AA37" i="7" s="1"/>
  <c r="AD37" i="7" s="1"/>
  <c r="Z36" i="7"/>
  <c r="AA36" i="7" s="1"/>
  <c r="AD36" i="7" s="1"/>
  <c r="AB32" i="7"/>
  <c r="AC32" i="7" s="1"/>
  <c r="AD32" i="7" s="1"/>
  <c r="P11" i="7"/>
  <c r="R46" i="7"/>
  <c r="P9" i="7"/>
  <c r="AB60" i="7"/>
  <c r="AC60" i="7" s="1"/>
  <c r="AD60" i="7" s="1"/>
  <c r="S31" i="7"/>
  <c r="T42" i="7"/>
  <c r="W42" i="7" s="1"/>
  <c r="U42" i="7"/>
  <c r="P100" i="7"/>
  <c r="T92" i="7"/>
  <c r="W92" i="7" s="1"/>
  <c r="U92" i="7"/>
  <c r="P88" i="7"/>
  <c r="T75" i="7"/>
  <c r="W75" i="7" s="1"/>
  <c r="U75" i="7"/>
  <c r="AD52" i="7"/>
  <c r="S32" i="7"/>
  <c r="Z66" i="7"/>
  <c r="AA66" i="7" s="1"/>
  <c r="AD66" i="7" s="1"/>
  <c r="Z76" i="7"/>
  <c r="AA76" i="7" s="1"/>
  <c r="AD76" i="7" s="1"/>
  <c r="AD8" i="7"/>
  <c r="Z98" i="7"/>
  <c r="AA98" i="7" s="1"/>
  <c r="AD98" i="7" s="1"/>
  <c r="S12" i="7"/>
  <c r="P101" i="7"/>
  <c r="Z59" i="7"/>
  <c r="AA59" i="7" s="1"/>
  <c r="AB87" i="7"/>
  <c r="AC87" i="7" s="1"/>
  <c r="AD87" i="7" s="1"/>
  <c r="P2" i="7"/>
  <c r="Z30" i="7"/>
  <c r="AA30" i="7" s="1"/>
  <c r="Z26" i="7"/>
  <c r="AA26" i="7" s="1"/>
  <c r="P68" i="7"/>
  <c r="AB28" i="7"/>
  <c r="AC28" i="7" s="1"/>
  <c r="AD28" i="7" s="1"/>
  <c r="AB46" i="7"/>
  <c r="AC46" i="7" s="1"/>
  <c r="AD46" i="7" s="1"/>
  <c r="P40" i="7"/>
  <c r="Z62" i="7"/>
  <c r="AA62" i="7" s="1"/>
  <c r="AD62" i="7" s="1"/>
  <c r="S18" i="7"/>
  <c r="P51" i="7"/>
  <c r="P15" i="7"/>
  <c r="Z81" i="7"/>
  <c r="AA81" i="7" s="1"/>
  <c r="AB81" i="7"/>
  <c r="AC81" i="7" s="1"/>
  <c r="S4" i="7"/>
  <c r="P57" i="7"/>
  <c r="AD33" i="7"/>
  <c r="P78" i="7"/>
  <c r="P8" i="7"/>
  <c r="S46" i="7"/>
  <c r="Z16" i="7"/>
  <c r="AA16" i="7" s="1"/>
  <c r="AD16" i="7" s="1"/>
  <c r="AB54" i="7"/>
  <c r="AC54" i="7" s="1"/>
  <c r="AD54" i="7" s="1"/>
  <c r="Z45" i="7"/>
  <c r="AA45" i="7" s="1"/>
  <c r="Z12" i="7"/>
  <c r="AA12" i="7" s="1"/>
  <c r="AD12" i="7" s="1"/>
  <c r="Z47" i="7"/>
  <c r="AA47" i="7" s="1"/>
  <c r="AB99" i="7"/>
  <c r="AC99" i="7" s="1"/>
  <c r="P62" i="7"/>
  <c r="AD83" i="7"/>
  <c r="AB13" i="7"/>
  <c r="AC13" i="7" s="1"/>
  <c r="S84" i="7"/>
  <c r="U32" i="7"/>
  <c r="T32" i="7"/>
  <c r="W32" i="7" s="1"/>
  <c r="X36" i="7"/>
  <c r="Y36" i="7"/>
  <c r="P43" i="7"/>
  <c r="AB21" i="7"/>
  <c r="AC21" i="7" s="1"/>
  <c r="AD21" i="7" s="1"/>
  <c r="Z50" i="7"/>
  <c r="AA50" i="7" s="1"/>
  <c r="P74" i="7"/>
  <c r="AD23" i="7"/>
  <c r="Z99" i="7"/>
  <c r="AA99" i="7" s="1"/>
  <c r="AB30" i="7"/>
  <c r="AC30" i="7" s="1"/>
  <c r="AB89" i="7"/>
  <c r="AC89" i="7" s="1"/>
  <c r="AB26" i="7"/>
  <c r="AC26" i="7" s="1"/>
  <c r="R31" i="7"/>
  <c r="R86" i="7"/>
  <c r="AB51" i="7"/>
  <c r="AC51" i="7" s="1"/>
  <c r="AD51" i="7" s="1"/>
  <c r="Z74" i="7"/>
  <c r="AA74" i="7" s="1"/>
  <c r="AD74" i="7" s="1"/>
  <c r="AB45" i="7"/>
  <c r="AC45" i="7" s="1"/>
  <c r="P23" i="7"/>
  <c r="P67" i="7"/>
  <c r="AB59" i="7"/>
  <c r="AC59" i="7" s="1"/>
  <c r="AB47" i="7"/>
  <c r="AC47" i="7" s="1"/>
  <c r="P99" i="7"/>
  <c r="P89" i="7"/>
  <c r="R26" i="7"/>
  <c r="Z31" i="7"/>
  <c r="AA31" i="7" s="1"/>
  <c r="AD31" i="7" s="1"/>
  <c r="R27" i="7"/>
  <c r="AB80" i="7"/>
  <c r="AC80" i="7" s="1"/>
  <c r="AD80" i="7" s="1"/>
  <c r="Z18" i="7"/>
  <c r="AA18" i="7" s="1"/>
  <c r="AD18" i="7" s="1"/>
  <c r="P61" i="7"/>
  <c r="AD89" i="7" l="1"/>
  <c r="Q60" i="7"/>
  <c r="S60" i="7" s="1"/>
  <c r="R60" i="7"/>
  <c r="R87" i="7"/>
  <c r="Y20" i="7"/>
  <c r="AD38" i="7"/>
  <c r="X42" i="7"/>
  <c r="R14" i="7"/>
  <c r="R56" i="7"/>
  <c r="T56" i="7" s="1"/>
  <c r="R80" i="7"/>
  <c r="U80" i="7" s="1"/>
  <c r="Q28" i="7"/>
  <c r="S28" i="7" s="1"/>
  <c r="R28" i="7"/>
  <c r="R66" i="7"/>
  <c r="Q53" i="7"/>
  <c r="S53" i="7" s="1"/>
  <c r="R53" i="7"/>
  <c r="T4" i="7"/>
  <c r="W4" i="7" s="1"/>
  <c r="Q98" i="7"/>
  <c r="S98" i="7" s="1"/>
  <c r="R98" i="7"/>
  <c r="AD50" i="7"/>
  <c r="U69" i="7"/>
  <c r="Y69" i="7" s="1"/>
  <c r="T12" i="7"/>
  <c r="W12" i="7" s="1"/>
  <c r="X48" i="7"/>
  <c r="AE48" i="7" s="1"/>
  <c r="Q96" i="7"/>
  <c r="S96" i="7" s="1"/>
  <c r="R96" i="7"/>
  <c r="AD26" i="7"/>
  <c r="AD41" i="7"/>
  <c r="Q44" i="7"/>
  <c r="S44" i="7" s="1"/>
  <c r="R44" i="7"/>
  <c r="X90" i="7"/>
  <c r="X34" i="7"/>
  <c r="T18" i="7"/>
  <c r="W18" i="7" s="1"/>
  <c r="AD47" i="7"/>
  <c r="AD45" i="7"/>
  <c r="Q99" i="7"/>
  <c r="S99" i="7" s="1"/>
  <c r="R99" i="7"/>
  <c r="X18" i="7"/>
  <c r="Y18" i="7"/>
  <c r="Q9" i="7"/>
  <c r="S9" i="7" s="1"/>
  <c r="R9" i="7"/>
  <c r="U56" i="7"/>
  <c r="Q78" i="7"/>
  <c r="S78" i="7" s="1"/>
  <c r="R78" i="7"/>
  <c r="U46" i="7"/>
  <c r="T46" i="7"/>
  <c r="W46" i="7" s="1"/>
  <c r="T76" i="7"/>
  <c r="U76" i="7"/>
  <c r="U81" i="7"/>
  <c r="T81" i="7"/>
  <c r="AD13" i="7"/>
  <c r="U85" i="7"/>
  <c r="T85" i="7"/>
  <c r="W85" i="7" s="1"/>
  <c r="U19" i="7"/>
  <c r="T19" i="7"/>
  <c r="W19" i="7" s="1"/>
  <c r="Q88" i="7"/>
  <c r="R88" i="7"/>
  <c r="U37" i="7"/>
  <c r="T37" i="7"/>
  <c r="U66" i="7"/>
  <c r="T66" i="7"/>
  <c r="W66" i="7" s="1"/>
  <c r="Q71" i="7"/>
  <c r="S71" i="7" s="1"/>
  <c r="R71" i="7"/>
  <c r="Y34" i="7"/>
  <c r="Y3" i="7"/>
  <c r="X3" i="7"/>
  <c r="Q40" i="7"/>
  <c r="S40" i="7" s="1"/>
  <c r="R40" i="7"/>
  <c r="Q23" i="7"/>
  <c r="R23" i="7"/>
  <c r="Q11" i="7"/>
  <c r="S11" i="7" s="1"/>
  <c r="R11" i="7"/>
  <c r="Q93" i="7"/>
  <c r="S93" i="7" s="1"/>
  <c r="R93" i="7"/>
  <c r="U38" i="7"/>
  <c r="T38" i="7"/>
  <c r="W38" i="7" s="1"/>
  <c r="T29" i="7"/>
  <c r="U29" i="7"/>
  <c r="Q67" i="7"/>
  <c r="R67" i="7"/>
  <c r="Q57" i="7"/>
  <c r="S57" i="7" s="1"/>
  <c r="R57" i="7"/>
  <c r="Q100" i="7"/>
  <c r="R100" i="7"/>
  <c r="X20" i="7"/>
  <c r="Q70" i="7"/>
  <c r="R70" i="7"/>
  <c r="X49" i="7"/>
  <c r="Y64" i="7"/>
  <c r="AE64" i="7" s="1"/>
  <c r="U33" i="7"/>
  <c r="T33" i="7"/>
  <c r="W33" i="7" s="1"/>
  <c r="Q68" i="7"/>
  <c r="S68" i="7" s="1"/>
  <c r="R68" i="7"/>
  <c r="Q17" i="7"/>
  <c r="R17" i="7"/>
  <c r="Q65" i="7"/>
  <c r="S65" i="7" s="1"/>
  <c r="R65" i="7"/>
  <c r="Y49" i="7"/>
  <c r="U54" i="7"/>
  <c r="T54" i="7"/>
  <c r="W54" i="7" s="1"/>
  <c r="Q22" i="7"/>
  <c r="S22" i="7" s="1"/>
  <c r="R22" i="7"/>
  <c r="U63" i="7"/>
  <c r="T63" i="7"/>
  <c r="Q72" i="7"/>
  <c r="R72" i="7"/>
  <c r="Q77" i="7"/>
  <c r="S77" i="7" s="1"/>
  <c r="R77" i="7"/>
  <c r="U84" i="7"/>
  <c r="T84" i="7"/>
  <c r="S54" i="7"/>
  <c r="Q43" i="7"/>
  <c r="S43" i="7" s="1"/>
  <c r="R43" i="7"/>
  <c r="AD30" i="7"/>
  <c r="AD95" i="7"/>
  <c r="U31" i="7"/>
  <c r="T31" i="7"/>
  <c r="Q62" i="7"/>
  <c r="S62" i="7" s="1"/>
  <c r="R62" i="7"/>
  <c r="X32" i="7"/>
  <c r="AE32" i="7" s="1"/>
  <c r="Y32" i="7"/>
  <c r="Y42" i="7"/>
  <c r="AE42" i="7" s="1"/>
  <c r="Q35" i="7"/>
  <c r="S35" i="7" s="1"/>
  <c r="R35" i="7"/>
  <c r="AD63" i="7"/>
  <c r="S63" i="7"/>
  <c r="W63" i="7"/>
  <c r="Q91" i="7"/>
  <c r="R91" i="7"/>
  <c r="T10" i="7"/>
  <c r="W10" i="7" s="1"/>
  <c r="U10" i="7"/>
  <c r="X10" i="7" s="1"/>
  <c r="AE36" i="7"/>
  <c r="T6" i="7"/>
  <c r="U6" i="7"/>
  <c r="Q83" i="7"/>
  <c r="R83" i="7"/>
  <c r="Q89" i="7"/>
  <c r="S89" i="7" s="1"/>
  <c r="R89" i="7"/>
  <c r="T14" i="7"/>
  <c r="U14" i="7"/>
  <c r="T13" i="7"/>
  <c r="W13" i="7" s="1"/>
  <c r="U13" i="7"/>
  <c r="AD81" i="7"/>
  <c r="Q58" i="7"/>
  <c r="R58" i="7"/>
  <c r="Q55" i="7"/>
  <c r="S55" i="7" s="1"/>
  <c r="R55" i="7"/>
  <c r="Y90" i="7"/>
  <c r="Q24" i="7"/>
  <c r="R24" i="7"/>
  <c r="U73" i="7"/>
  <c r="T73" i="7"/>
  <c r="Q30" i="7"/>
  <c r="S30" i="7" s="1"/>
  <c r="R30" i="7"/>
  <c r="T41" i="7"/>
  <c r="U41" i="7"/>
  <c r="AD99" i="7"/>
  <c r="Q101" i="7"/>
  <c r="S101" i="7" s="1"/>
  <c r="R101" i="7"/>
  <c r="X75" i="7"/>
  <c r="X92" i="7"/>
  <c r="AE92" i="7" s="1"/>
  <c r="S41" i="7"/>
  <c r="W41" i="7"/>
  <c r="U95" i="7"/>
  <c r="T95" i="7"/>
  <c r="W95" i="7" s="1"/>
  <c r="Q7" i="7"/>
  <c r="S7" i="7" s="1"/>
  <c r="R7" i="7"/>
  <c r="T47" i="7"/>
  <c r="W47" i="7" s="1"/>
  <c r="U47" i="7"/>
  <c r="Q79" i="7"/>
  <c r="S79" i="7" s="1"/>
  <c r="R79" i="7"/>
  <c r="Y92" i="7"/>
  <c r="Q5" i="7"/>
  <c r="R5" i="7"/>
  <c r="Q61" i="7"/>
  <c r="S61" i="7" s="1"/>
  <c r="R61" i="7"/>
  <c r="AD19" i="7"/>
  <c r="Y12" i="7"/>
  <c r="X12" i="7"/>
  <c r="AE12" i="7" s="1"/>
  <c r="Q59" i="7"/>
  <c r="R59" i="7"/>
  <c r="Q94" i="7"/>
  <c r="S94" i="7" s="1"/>
  <c r="R94" i="7"/>
  <c r="Q39" i="7"/>
  <c r="S39" i="7" s="1"/>
  <c r="R39" i="7"/>
  <c r="T21" i="7"/>
  <c r="W21" i="7" s="1"/>
  <c r="U21" i="7"/>
  <c r="Q97" i="7"/>
  <c r="S97" i="7" s="1"/>
  <c r="R97" i="7"/>
  <c r="Q25" i="7"/>
  <c r="S25" i="7" s="1"/>
  <c r="R25" i="7"/>
  <c r="T86" i="7"/>
  <c r="U86" i="7"/>
  <c r="Q2" i="7"/>
  <c r="S2" i="7" s="1"/>
  <c r="R2" i="7"/>
  <c r="AE20" i="7"/>
  <c r="Q52" i="7"/>
  <c r="S52" i="7" s="1"/>
  <c r="R52" i="7"/>
  <c r="U16" i="7"/>
  <c r="T16" i="7"/>
  <c r="AD59" i="7"/>
  <c r="U27" i="7"/>
  <c r="T27" i="7"/>
  <c r="Q15" i="7"/>
  <c r="S15" i="7" s="1"/>
  <c r="R15" i="7"/>
  <c r="Y75" i="7"/>
  <c r="Q45" i="7"/>
  <c r="S45" i="7" s="1"/>
  <c r="R45" i="7"/>
  <c r="S95" i="7"/>
  <c r="T26" i="7"/>
  <c r="U26" i="7"/>
  <c r="Q74" i="7"/>
  <c r="S74" i="7" s="1"/>
  <c r="R74" i="7"/>
  <c r="Q8" i="7"/>
  <c r="R8" i="7"/>
  <c r="Q51" i="7"/>
  <c r="S51" i="7" s="1"/>
  <c r="R51" i="7"/>
  <c r="Q82" i="7"/>
  <c r="S82" i="7" s="1"/>
  <c r="R82" i="7"/>
  <c r="U50" i="7"/>
  <c r="T50" i="7"/>
  <c r="W50" i="7" s="1"/>
  <c r="AE75" i="7" l="1"/>
  <c r="X69" i="7"/>
  <c r="X21" i="7"/>
  <c r="X4" i="7"/>
  <c r="T80" i="7"/>
  <c r="X19" i="7"/>
  <c r="U87" i="7"/>
  <c r="T87" i="7"/>
  <c r="Y21" i="7"/>
  <c r="AE21" i="7" s="1"/>
  <c r="Y4" i="7"/>
  <c r="AE4" i="7" s="1"/>
  <c r="B4" i="7" s="1"/>
  <c r="AE34" i="7"/>
  <c r="U60" i="7"/>
  <c r="T60" i="7"/>
  <c r="X6" i="7"/>
  <c r="AE69" i="7"/>
  <c r="U44" i="7"/>
  <c r="T44" i="7"/>
  <c r="X50" i="7"/>
  <c r="X13" i="7"/>
  <c r="Y38" i="7"/>
  <c r="U96" i="7"/>
  <c r="T96" i="7"/>
  <c r="W96" i="7" s="1"/>
  <c r="AE18" i="7"/>
  <c r="Y33" i="7"/>
  <c r="U98" i="7"/>
  <c r="T98" i="7"/>
  <c r="T53" i="7"/>
  <c r="W53" i="7" s="1"/>
  <c r="U53" i="7"/>
  <c r="Y47" i="7"/>
  <c r="AE90" i="7"/>
  <c r="AE49" i="7"/>
  <c r="X38" i="7"/>
  <c r="AE38" i="7" s="1"/>
  <c r="U28" i="7"/>
  <c r="T28" i="7"/>
  <c r="Y19" i="7"/>
  <c r="AE19" i="7" s="1"/>
  <c r="W27" i="7"/>
  <c r="X27" i="7"/>
  <c r="Y27" i="7"/>
  <c r="U39" i="7"/>
  <c r="T39" i="7"/>
  <c r="W39" i="7" s="1"/>
  <c r="S83" i="7"/>
  <c r="X31" i="7"/>
  <c r="W31" i="7"/>
  <c r="U93" i="7"/>
  <c r="T93" i="7"/>
  <c r="W93" i="7" s="1"/>
  <c r="W37" i="7"/>
  <c r="X37" i="7"/>
  <c r="Y37" i="7"/>
  <c r="U82" i="7"/>
  <c r="X82" i="7" s="1"/>
  <c r="T82" i="7"/>
  <c r="W82" i="7" s="1"/>
  <c r="U58" i="7"/>
  <c r="T58" i="7"/>
  <c r="W58" i="7" s="1"/>
  <c r="U94" i="7"/>
  <c r="X94" i="7" s="1"/>
  <c r="T94" i="7"/>
  <c r="W94" i="7" s="1"/>
  <c r="S58" i="7"/>
  <c r="W6" i="7"/>
  <c r="Y6" i="7"/>
  <c r="AE6" i="7" s="1"/>
  <c r="T11" i="7"/>
  <c r="W11" i="7" s="1"/>
  <c r="U11" i="7"/>
  <c r="Y13" i="7"/>
  <c r="Y10" i="7"/>
  <c r="U51" i="7"/>
  <c r="T51" i="7"/>
  <c r="W51" i="7" s="1"/>
  <c r="W56" i="7"/>
  <c r="Y56" i="7"/>
  <c r="X56" i="7"/>
  <c r="X51" i="7"/>
  <c r="T59" i="7"/>
  <c r="W59" i="7" s="1"/>
  <c r="U59" i="7"/>
  <c r="X41" i="7"/>
  <c r="Y41" i="7"/>
  <c r="U43" i="7"/>
  <c r="T43" i="7"/>
  <c r="W43" i="7" s="1"/>
  <c r="T23" i="7"/>
  <c r="W23" i="7" s="1"/>
  <c r="U23" i="7"/>
  <c r="T88" i="7"/>
  <c r="W88" i="7" s="1"/>
  <c r="U88" i="7"/>
  <c r="T8" i="7"/>
  <c r="W8" i="7" s="1"/>
  <c r="U8" i="7"/>
  <c r="U52" i="7"/>
  <c r="T52" i="7"/>
  <c r="W52" i="7" s="1"/>
  <c r="S59" i="7"/>
  <c r="AE10" i="7"/>
  <c r="X33" i="7"/>
  <c r="AE33" i="7" s="1"/>
  <c r="S23" i="7"/>
  <c r="S88" i="7"/>
  <c r="U9" i="7"/>
  <c r="T9" i="7"/>
  <c r="W9" i="7" s="1"/>
  <c r="S8" i="7"/>
  <c r="U91" i="7"/>
  <c r="T91" i="7"/>
  <c r="U70" i="7"/>
  <c r="T70" i="7"/>
  <c r="W70" i="7" s="1"/>
  <c r="U40" i="7"/>
  <c r="T40" i="7"/>
  <c r="W40" i="7" s="1"/>
  <c r="S91" i="7"/>
  <c r="W91" i="7"/>
  <c r="U65" i="7"/>
  <c r="T65" i="7"/>
  <c r="W65" i="7" s="1"/>
  <c r="S70" i="7"/>
  <c r="U2" i="7"/>
  <c r="T2" i="7"/>
  <c r="W2" i="7" s="1"/>
  <c r="Y31" i="7"/>
  <c r="X84" i="7"/>
  <c r="W84" i="7"/>
  <c r="Y26" i="7"/>
  <c r="X2" i="7"/>
  <c r="U61" i="7"/>
  <c r="T61" i="7"/>
  <c r="W61" i="7" s="1"/>
  <c r="Y84" i="7"/>
  <c r="AE84" i="7" s="1"/>
  <c r="Y63" i="7"/>
  <c r="X63" i="7"/>
  <c r="T17" i="7"/>
  <c r="W17" i="7" s="1"/>
  <c r="U17" i="7"/>
  <c r="T100" i="7"/>
  <c r="W100" i="7" s="1"/>
  <c r="U100" i="7"/>
  <c r="AE3" i="7"/>
  <c r="B3" i="7" s="1"/>
  <c r="U99" i="7"/>
  <c r="T99" i="7"/>
  <c r="W99" i="7" s="1"/>
  <c r="W26" i="7"/>
  <c r="X26" i="7"/>
  <c r="T77" i="7"/>
  <c r="W77" i="7" s="1"/>
  <c r="U77" i="7"/>
  <c r="X95" i="7"/>
  <c r="Y95" i="7"/>
  <c r="T25" i="7"/>
  <c r="W25" i="7" s="1"/>
  <c r="U25" i="7"/>
  <c r="S5" i="7"/>
  <c r="T30" i="7"/>
  <c r="W30" i="7" s="1"/>
  <c r="U30" i="7"/>
  <c r="X35" i="7"/>
  <c r="Y35" i="7"/>
  <c r="U68" i="7"/>
  <c r="T68" i="7"/>
  <c r="W68" i="7" s="1"/>
  <c r="X85" i="7"/>
  <c r="AE85" i="7" s="1"/>
  <c r="T101" i="7"/>
  <c r="W101" i="7" s="1"/>
  <c r="U101" i="7"/>
  <c r="U35" i="7"/>
  <c r="T35" i="7"/>
  <c r="W35" i="7" s="1"/>
  <c r="W73" i="7"/>
  <c r="X73" i="7"/>
  <c r="Y73" i="7"/>
  <c r="W86" i="7"/>
  <c r="Y86" i="7"/>
  <c r="X86" i="7"/>
  <c r="X77" i="7"/>
  <c r="U45" i="7"/>
  <c r="T45" i="7"/>
  <c r="W45" i="7" s="1"/>
  <c r="Y85" i="7"/>
  <c r="U97" i="7"/>
  <c r="T97" i="7"/>
  <c r="W97" i="7" s="1"/>
  <c r="Y50" i="7"/>
  <c r="S72" i="7"/>
  <c r="T67" i="7"/>
  <c r="W67" i="7" s="1"/>
  <c r="U67" i="7"/>
  <c r="U79" i="7"/>
  <c r="T79" i="7"/>
  <c r="W79" i="7" s="1"/>
  <c r="S67" i="7"/>
  <c r="U71" i="7"/>
  <c r="T71" i="7"/>
  <c r="W71" i="7" s="1"/>
  <c r="X54" i="7"/>
  <c r="Y54" i="7"/>
  <c r="W81" i="7"/>
  <c r="Y81" i="7"/>
  <c r="X81" i="7"/>
  <c r="U15" i="7"/>
  <c r="T15" i="7"/>
  <c r="W15" i="7" s="1"/>
  <c r="U24" i="7"/>
  <c r="T24" i="7"/>
  <c r="W24" i="7" s="1"/>
  <c r="U89" i="7"/>
  <c r="T89" i="7"/>
  <c r="W89" i="7" s="1"/>
  <c r="W76" i="7"/>
  <c r="X76" i="7"/>
  <c r="Y76" i="7"/>
  <c r="S100" i="7"/>
  <c r="T57" i="7"/>
  <c r="W57" i="7" s="1"/>
  <c r="U57" i="7"/>
  <c r="Y57" i="7" s="1"/>
  <c r="S24" i="7"/>
  <c r="U22" i="7"/>
  <c r="T22" i="7"/>
  <c r="W22" i="7" s="1"/>
  <c r="W29" i="7"/>
  <c r="Y29" i="7"/>
  <c r="X29" i="7"/>
  <c r="W16" i="7"/>
  <c r="Y16" i="7"/>
  <c r="X16" i="7"/>
  <c r="T74" i="7"/>
  <c r="W74" i="7" s="1"/>
  <c r="U74" i="7"/>
  <c r="Y99" i="7"/>
  <c r="X99" i="7"/>
  <c r="X46" i="7"/>
  <c r="AE46" i="7" s="1"/>
  <c r="X47" i="7"/>
  <c r="T62" i="7"/>
  <c r="W62" i="7" s="1"/>
  <c r="U62" i="7"/>
  <c r="Y66" i="7"/>
  <c r="S17" i="7"/>
  <c r="T5" i="7"/>
  <c r="W5" i="7" s="1"/>
  <c r="U5" i="7"/>
  <c r="W14" i="7"/>
  <c r="Y14" i="7"/>
  <c r="X14" i="7"/>
  <c r="U72" i="7"/>
  <c r="T72" i="7"/>
  <c r="W72" i="7" s="1"/>
  <c r="Y46" i="7"/>
  <c r="T7" i="7"/>
  <c r="W7" i="7" s="1"/>
  <c r="U7" i="7"/>
  <c r="Y7" i="7" s="1"/>
  <c r="U55" i="7"/>
  <c r="T55" i="7"/>
  <c r="W55" i="7" s="1"/>
  <c r="T83" i="7"/>
  <c r="W83" i="7" s="1"/>
  <c r="U83" i="7"/>
  <c r="W80" i="7"/>
  <c r="Y80" i="7"/>
  <c r="X80" i="7"/>
  <c r="X66" i="7"/>
  <c r="AE66" i="7" s="1"/>
  <c r="T78" i="7"/>
  <c r="W78" i="7" s="1"/>
  <c r="U78" i="7"/>
  <c r="X61" i="7" l="1"/>
  <c r="Y25" i="7"/>
  <c r="AE41" i="7"/>
  <c r="Y94" i="7"/>
  <c r="AE94" i="7" s="1"/>
  <c r="W87" i="7"/>
  <c r="X87" i="7"/>
  <c r="Y87" i="7"/>
  <c r="W60" i="7"/>
  <c r="X60" i="7"/>
  <c r="Y60" i="7"/>
  <c r="Y79" i="7"/>
  <c r="AE13" i="7"/>
  <c r="X53" i="7"/>
  <c r="Y5" i="7"/>
  <c r="X15" i="7"/>
  <c r="AE37" i="7"/>
  <c r="Y53" i="7"/>
  <c r="W98" i="7"/>
  <c r="Y98" i="7"/>
  <c r="X98" i="7"/>
  <c r="AE63" i="7"/>
  <c r="Y62" i="7"/>
  <c r="Y22" i="7"/>
  <c r="AE54" i="7"/>
  <c r="X22" i="7"/>
  <c r="AE22" i="7" s="1"/>
  <c r="X52" i="7"/>
  <c r="Y96" i="7"/>
  <c r="X68" i="7"/>
  <c r="AE95" i="7"/>
  <c r="Y52" i="7"/>
  <c r="X96" i="7"/>
  <c r="Y97" i="7"/>
  <c r="X97" i="7"/>
  <c r="AE97" i="7" s="1"/>
  <c r="Y82" i="7"/>
  <c r="AE82" i="7" s="1"/>
  <c r="W28" i="7"/>
  <c r="X28" i="7"/>
  <c r="Y28" i="7"/>
  <c r="X55" i="7"/>
  <c r="AE55" i="7" s="1"/>
  <c r="X71" i="7"/>
  <c r="X67" i="7"/>
  <c r="Y45" i="7"/>
  <c r="AE26" i="7"/>
  <c r="Y101" i="7"/>
  <c r="W44" i="7"/>
  <c r="X44" i="7"/>
  <c r="AE47" i="7"/>
  <c r="X45" i="7"/>
  <c r="AE45" i="7" s="1"/>
  <c r="X101" i="7"/>
  <c r="X25" i="7"/>
  <c r="AE25" i="7" s="1"/>
  <c r="AE50" i="7"/>
  <c r="Y51" i="7"/>
  <c r="AE51" i="7" s="1"/>
  <c r="Y44" i="7"/>
  <c r="X78" i="7"/>
  <c r="X11" i="7"/>
  <c r="AE11" i="7" s="1"/>
  <c r="AE80" i="7"/>
  <c r="AE2" i="7"/>
  <c r="B2" i="7" s="1"/>
  <c r="AE14" i="7"/>
  <c r="X74" i="7"/>
  <c r="Y100" i="7"/>
  <c r="X100" i="7"/>
  <c r="AE86" i="7"/>
  <c r="AE35" i="7"/>
  <c r="Y8" i="7"/>
  <c r="X8" i="7"/>
  <c r="AE8" i="7" s="1"/>
  <c r="Y67" i="7"/>
  <c r="X62" i="7"/>
  <c r="AE76" i="7"/>
  <c r="Y61" i="7"/>
  <c r="AE61" i="7" s="1"/>
  <c r="Y70" i="7"/>
  <c r="X70" i="7"/>
  <c r="AE31" i="7"/>
  <c r="X17" i="7"/>
  <c r="Y17" i="7"/>
  <c r="AE16" i="7"/>
  <c r="X5" i="7"/>
  <c r="Y88" i="7"/>
  <c r="X88" i="7"/>
  <c r="Y58" i="7"/>
  <c r="X58" i="7"/>
  <c r="Y71" i="7"/>
  <c r="AE73" i="7"/>
  <c r="X23" i="7"/>
  <c r="Y23" i="7"/>
  <c r="Y83" i="7"/>
  <c r="X83" i="7"/>
  <c r="X91" i="7"/>
  <c r="AE91" i="7" s="1"/>
  <c r="Y91" i="7"/>
  <c r="Y55" i="7"/>
  <c r="Y2" i="7"/>
  <c r="Y43" i="7"/>
  <c r="AE29" i="7"/>
  <c r="Y77" i="7"/>
  <c r="AE77" i="7" s="1"/>
  <c r="X9" i="7"/>
  <c r="X43" i="7"/>
  <c r="Y93" i="7"/>
  <c r="AE93" i="7" s="1"/>
  <c r="X7" i="7"/>
  <c r="AE7" i="7" s="1"/>
  <c r="Y74" i="7"/>
  <c r="X79" i="7"/>
  <c r="AE56" i="7"/>
  <c r="Y65" i="7"/>
  <c r="Y89" i="7"/>
  <c r="X65" i="7"/>
  <c r="X59" i="7"/>
  <c r="Y59" i="7"/>
  <c r="Y11" i="7"/>
  <c r="X89" i="7"/>
  <c r="Y40" i="7"/>
  <c r="Y39" i="7"/>
  <c r="X40" i="7"/>
  <c r="AE40" i="7" s="1"/>
  <c r="X39" i="7"/>
  <c r="AE27" i="7"/>
  <c r="Y9" i="7"/>
  <c r="X30" i="7"/>
  <c r="AE30" i="7" s="1"/>
  <c r="Y15" i="7"/>
  <c r="X24" i="7"/>
  <c r="Y24" i="7"/>
  <c r="AE99" i="7"/>
  <c r="Y72" i="7"/>
  <c r="X72" i="7"/>
  <c r="AE72" i="7" s="1"/>
  <c r="X93" i="7"/>
  <c r="Y78" i="7"/>
  <c r="Y30" i="7"/>
  <c r="Y68" i="7"/>
  <c r="AE81" i="7"/>
  <c r="X57" i="7"/>
  <c r="AE57" i="7" s="1"/>
  <c r="AE24" i="7" l="1"/>
  <c r="AE15" i="7"/>
  <c r="AE43" i="7"/>
  <c r="AE5" i="7"/>
  <c r="B5" i="7" s="1"/>
  <c r="AE96" i="7"/>
  <c r="AE60" i="7"/>
  <c r="AE83" i="7"/>
  <c r="AE52" i="7"/>
  <c r="AE78" i="7"/>
  <c r="AE67" i="7"/>
  <c r="AE23" i="7"/>
  <c r="AE44" i="7"/>
  <c r="AE87" i="7"/>
  <c r="AE89" i="7"/>
  <c r="AE79" i="7"/>
  <c r="AE71" i="7"/>
  <c r="AE100" i="7"/>
  <c r="AE74" i="7"/>
  <c r="AE58" i="7"/>
  <c r="AE88" i="7"/>
  <c r="AE39" i="7"/>
  <c r="AE101" i="7"/>
  <c r="AE68" i="7"/>
  <c r="AE17" i="7"/>
  <c r="AE70" i="7"/>
  <c r="AE98" i="7"/>
  <c r="AE28" i="7"/>
  <c r="AE59" i="7"/>
  <c r="AE65" i="7"/>
  <c r="AE62" i="7"/>
  <c r="AE53" i="7"/>
  <c r="AE9" i="7"/>
</calcChain>
</file>

<file path=xl/sharedStrings.xml><?xml version="1.0" encoding="utf-8"?>
<sst xmlns="http://schemas.openxmlformats.org/spreadsheetml/2006/main" count="74" uniqueCount="63">
  <si>
    <t>x</t>
  </si>
  <si>
    <t xml:space="preserve">number of datapoints = </t>
  </si>
  <si>
    <t>Error status:</t>
  </si>
  <si>
    <t>monotone x</t>
  </si>
  <si>
    <t>x monotone:</t>
  </si>
  <si>
    <t>Prob</t>
  </si>
  <si>
    <t>#x = #Prob values:</t>
  </si>
  <si>
    <t>Prob from 0 to 1:</t>
  </si>
  <si>
    <t>Prob monotone:</t>
  </si>
  <si>
    <t>monotone Prob</t>
  </si>
  <si>
    <t>delta_x</t>
  </si>
  <si>
    <t>delta_y</t>
  </si>
  <si>
    <t>y</t>
  </si>
  <si>
    <t>del</t>
  </si>
  <si>
    <t>h</t>
  </si>
  <si>
    <t>hs</t>
  </si>
  <si>
    <t>w1</t>
  </si>
  <si>
    <t>w2</t>
  </si>
  <si>
    <t>dmin</t>
  </si>
  <si>
    <t>dmax</t>
  </si>
  <si>
    <t>d</t>
  </si>
  <si>
    <t>d_temp</t>
  </si>
  <si>
    <t>2 &lt; #x &lt;100:</t>
  </si>
  <si>
    <t>index</t>
  </si>
  <si>
    <t>delta_x=</t>
  </si>
  <si>
    <t>num_seg=</t>
  </si>
  <si>
    <t>x start</t>
  </si>
  <si>
    <t>x end</t>
  </si>
  <si>
    <t>a2</t>
  </si>
  <si>
    <t>a3</t>
  </si>
  <si>
    <t>a1</t>
  </si>
  <si>
    <t>x normalized</t>
  </si>
  <si>
    <t>a0</t>
  </si>
  <si>
    <t>pdf</t>
  </si>
  <si>
    <t>Probability</t>
  </si>
  <si>
    <t>x-value</t>
  </si>
  <si>
    <t>spline index</t>
  </si>
  <si>
    <t>Note: We solve for the root of the cubic spline using the method described in http://www.1728.com/cubic.htm</t>
  </si>
  <si>
    <t>a</t>
  </si>
  <si>
    <t>b</t>
  </si>
  <si>
    <t>c</t>
  </si>
  <si>
    <t>f</t>
  </si>
  <si>
    <t>g</t>
  </si>
  <si>
    <t>i</t>
  </si>
  <si>
    <t>j</t>
  </si>
  <si>
    <t>k</t>
  </si>
  <si>
    <t>l</t>
  </si>
  <si>
    <t>m</t>
  </si>
  <si>
    <t>n</t>
  </si>
  <si>
    <t>p</t>
  </si>
  <si>
    <t>x1</t>
  </si>
  <si>
    <t>x2</t>
  </si>
  <si>
    <t>x3</t>
  </si>
  <si>
    <t>r</t>
  </si>
  <si>
    <t>s</t>
  </si>
  <si>
    <t>t</t>
  </si>
  <si>
    <t>u</t>
  </si>
  <si>
    <t>x root</t>
  </si>
  <si>
    <t>Unhide the columns from C through AB to see the computations</t>
  </si>
  <si>
    <t>linear</t>
  </si>
  <si>
    <t>quad1</t>
  </si>
  <si>
    <t>quad2</t>
  </si>
  <si>
    <t>Need 3 data points to compute 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</si>
</sst>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1" xfId="0" applyFill="1" applyBorder="1" applyProtection="1">
      <protection locked="0"/>
    </xf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1" fillId="4" borderId="6" xfId="0" applyFont="1" applyFill="1" applyBorder="1" applyAlignment="1">
      <alignment horizontal="center"/>
    </xf>
    <xf numFmtId="9" fontId="4" fillId="2" borderId="2" xfId="1" applyFont="1" applyFill="1" applyBorder="1" applyAlignment="1" applyProtection="1">
      <alignment horizontal="center"/>
      <protection locked="0"/>
    </xf>
    <xf numFmtId="9" fontId="4" fillId="2" borderId="3" xfId="1" applyFont="1" applyFill="1" applyBorder="1" applyAlignment="1" applyProtection="1">
      <alignment horizontal="center"/>
      <protection locked="0"/>
    </xf>
    <xf numFmtId="9" fontId="4" fillId="5" borderId="2" xfId="1" applyFont="1" applyFill="1" applyBorder="1" applyAlignment="1" applyProtection="1">
      <alignment horizontal="center"/>
      <protection locked="0"/>
    </xf>
    <xf numFmtId="9" fontId="4" fillId="6" borderId="2" xfId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Cumulative Distribution Function</a:t>
            </a:r>
          </a:p>
        </c:rich>
      </c:tx>
      <c:layout>
        <c:manualLayout>
          <c:xMode val="edge"/>
          <c:yMode val="edge"/>
          <c:x val="0.26945473279254728"/>
          <c:y val="1.5243902439024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08155900970014"/>
          <c:y val="0.1173782453591339"/>
          <c:w val="0.82810849619568028"/>
          <c:h val="0.69054993698295652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1.4999999999999999E-2</c:v>
                </c:pt>
                <c:pt idx="1">
                  <c:v>1.5924999999999998E-2</c:v>
                </c:pt>
                <c:pt idx="2">
                  <c:v>1.685E-2</c:v>
                </c:pt>
                <c:pt idx="3">
                  <c:v>1.7774999999999999E-2</c:v>
                </c:pt>
                <c:pt idx="4">
                  <c:v>1.8700000000000001E-2</c:v>
                </c:pt>
                <c:pt idx="5">
                  <c:v>1.9625E-2</c:v>
                </c:pt>
                <c:pt idx="6">
                  <c:v>2.0549999999999999E-2</c:v>
                </c:pt>
                <c:pt idx="7">
                  <c:v>2.1475000000000001E-2</c:v>
                </c:pt>
                <c:pt idx="8">
                  <c:v>2.24E-2</c:v>
                </c:pt>
                <c:pt idx="9">
                  <c:v>2.3324999999999999E-2</c:v>
                </c:pt>
                <c:pt idx="10">
                  <c:v>2.4250000000000001E-2</c:v>
                </c:pt>
                <c:pt idx="11">
                  <c:v>2.5174999999999999E-2</c:v>
                </c:pt>
                <c:pt idx="12">
                  <c:v>2.6099999999999998E-2</c:v>
                </c:pt>
                <c:pt idx="13">
                  <c:v>2.7025E-2</c:v>
                </c:pt>
                <c:pt idx="14">
                  <c:v>2.7949999999999999E-2</c:v>
                </c:pt>
                <c:pt idx="15">
                  <c:v>2.8874999999999998E-2</c:v>
                </c:pt>
                <c:pt idx="16">
                  <c:v>2.98E-2</c:v>
                </c:pt>
                <c:pt idx="17">
                  <c:v>3.0724999999999999E-2</c:v>
                </c:pt>
                <c:pt idx="18">
                  <c:v>3.1649999999999998E-2</c:v>
                </c:pt>
                <c:pt idx="19">
                  <c:v>3.2575E-2</c:v>
                </c:pt>
                <c:pt idx="20">
                  <c:v>3.3500000000000002E-2</c:v>
                </c:pt>
                <c:pt idx="21">
                  <c:v>3.4424999999999997E-2</c:v>
                </c:pt>
                <c:pt idx="22">
                  <c:v>3.5349999999999999E-2</c:v>
                </c:pt>
                <c:pt idx="23">
                  <c:v>3.6275000000000002E-2</c:v>
                </c:pt>
                <c:pt idx="24">
                  <c:v>3.7199999999999997E-2</c:v>
                </c:pt>
                <c:pt idx="25">
                  <c:v>3.8124999999999999E-2</c:v>
                </c:pt>
                <c:pt idx="26">
                  <c:v>3.9050000000000001E-2</c:v>
                </c:pt>
                <c:pt idx="27">
                  <c:v>3.9974999999999997E-2</c:v>
                </c:pt>
                <c:pt idx="28">
                  <c:v>4.0899999999999999E-2</c:v>
                </c:pt>
                <c:pt idx="29">
                  <c:v>4.1825000000000001E-2</c:v>
                </c:pt>
                <c:pt idx="30">
                  <c:v>4.2749999999999996E-2</c:v>
                </c:pt>
                <c:pt idx="31">
                  <c:v>4.3675000000000005E-2</c:v>
                </c:pt>
                <c:pt idx="32">
                  <c:v>4.4600000000000001E-2</c:v>
                </c:pt>
                <c:pt idx="33">
                  <c:v>4.5524999999999996E-2</c:v>
                </c:pt>
                <c:pt idx="34">
                  <c:v>4.6449999999999998E-2</c:v>
                </c:pt>
                <c:pt idx="35">
                  <c:v>4.7375E-2</c:v>
                </c:pt>
                <c:pt idx="36">
                  <c:v>4.8300000000000003E-2</c:v>
                </c:pt>
                <c:pt idx="37">
                  <c:v>4.9224999999999998E-2</c:v>
                </c:pt>
                <c:pt idx="38">
                  <c:v>5.015E-2</c:v>
                </c:pt>
                <c:pt idx="39">
                  <c:v>5.1074999999999995E-2</c:v>
                </c:pt>
                <c:pt idx="40">
                  <c:v>5.2000000000000005E-2</c:v>
                </c:pt>
                <c:pt idx="41">
                  <c:v>5.2925E-2</c:v>
                </c:pt>
                <c:pt idx="42">
                  <c:v>5.3849999999999995E-2</c:v>
                </c:pt>
                <c:pt idx="43">
                  <c:v>5.4774999999999997E-2</c:v>
                </c:pt>
                <c:pt idx="44">
                  <c:v>5.57E-2</c:v>
                </c:pt>
                <c:pt idx="45">
                  <c:v>5.6624999999999995E-2</c:v>
                </c:pt>
                <c:pt idx="46">
                  <c:v>5.7549999999999997E-2</c:v>
                </c:pt>
                <c:pt idx="47">
                  <c:v>5.8474999999999999E-2</c:v>
                </c:pt>
                <c:pt idx="48">
                  <c:v>5.9399999999999994E-2</c:v>
                </c:pt>
                <c:pt idx="49">
                  <c:v>6.0324999999999997E-2</c:v>
                </c:pt>
                <c:pt idx="50">
                  <c:v>6.1249999999999999E-2</c:v>
                </c:pt>
                <c:pt idx="51">
                  <c:v>6.2175000000000001E-2</c:v>
                </c:pt>
                <c:pt idx="52">
                  <c:v>6.3099999999999989E-2</c:v>
                </c:pt>
                <c:pt idx="53">
                  <c:v>6.4024999999999999E-2</c:v>
                </c:pt>
                <c:pt idx="54">
                  <c:v>6.4950000000000008E-2</c:v>
                </c:pt>
                <c:pt idx="55">
                  <c:v>6.5875000000000003E-2</c:v>
                </c:pt>
                <c:pt idx="56">
                  <c:v>6.6799999999999998E-2</c:v>
                </c:pt>
                <c:pt idx="57">
                  <c:v>6.7725000000000007E-2</c:v>
                </c:pt>
                <c:pt idx="58">
                  <c:v>6.8650000000000003E-2</c:v>
                </c:pt>
                <c:pt idx="59">
                  <c:v>6.9574999999999998E-2</c:v>
                </c:pt>
                <c:pt idx="60">
                  <c:v>7.0500000000000007E-2</c:v>
                </c:pt>
                <c:pt idx="61">
                  <c:v>7.1425000000000002E-2</c:v>
                </c:pt>
                <c:pt idx="62">
                  <c:v>7.2349999999999998E-2</c:v>
                </c:pt>
                <c:pt idx="63">
                  <c:v>7.3274999999999993E-2</c:v>
                </c:pt>
                <c:pt idx="64">
                  <c:v>7.4200000000000002E-2</c:v>
                </c:pt>
                <c:pt idx="65">
                  <c:v>7.5124999999999997E-2</c:v>
                </c:pt>
                <c:pt idx="66">
                  <c:v>7.6049999999999993E-2</c:v>
                </c:pt>
                <c:pt idx="67">
                  <c:v>7.6974999999999988E-2</c:v>
                </c:pt>
                <c:pt idx="68">
                  <c:v>7.7899999999999997E-2</c:v>
                </c:pt>
                <c:pt idx="69">
                  <c:v>7.8825000000000006E-2</c:v>
                </c:pt>
                <c:pt idx="70">
                  <c:v>7.9750000000000001E-2</c:v>
                </c:pt>
                <c:pt idx="71">
                  <c:v>8.0674999999999997E-2</c:v>
                </c:pt>
                <c:pt idx="72">
                  <c:v>8.1600000000000006E-2</c:v>
                </c:pt>
                <c:pt idx="73">
                  <c:v>8.2525000000000001E-2</c:v>
                </c:pt>
                <c:pt idx="74">
                  <c:v>8.3449999999999996E-2</c:v>
                </c:pt>
                <c:pt idx="75">
                  <c:v>8.4375000000000006E-2</c:v>
                </c:pt>
                <c:pt idx="76">
                  <c:v>8.5300000000000001E-2</c:v>
                </c:pt>
                <c:pt idx="77">
                  <c:v>8.6224999999999996E-2</c:v>
                </c:pt>
                <c:pt idx="78">
                  <c:v>8.7149999999999991E-2</c:v>
                </c:pt>
                <c:pt idx="79">
                  <c:v>8.8075000000000001E-2</c:v>
                </c:pt>
                <c:pt idx="80">
                  <c:v>8.900000000000001E-2</c:v>
                </c:pt>
                <c:pt idx="81">
                  <c:v>8.9924999999999991E-2</c:v>
                </c:pt>
                <c:pt idx="82">
                  <c:v>9.085E-2</c:v>
                </c:pt>
                <c:pt idx="83">
                  <c:v>9.1774999999999995E-2</c:v>
                </c:pt>
                <c:pt idx="84">
                  <c:v>9.2699999999999991E-2</c:v>
                </c:pt>
                <c:pt idx="85">
                  <c:v>9.3625E-2</c:v>
                </c:pt>
                <c:pt idx="86">
                  <c:v>9.4549999999999995E-2</c:v>
                </c:pt>
                <c:pt idx="87">
                  <c:v>9.547499999999999E-2</c:v>
                </c:pt>
                <c:pt idx="88">
                  <c:v>9.64E-2</c:v>
                </c:pt>
                <c:pt idx="89">
                  <c:v>9.7324999999999995E-2</c:v>
                </c:pt>
                <c:pt idx="90">
                  <c:v>9.824999999999999E-2</c:v>
                </c:pt>
                <c:pt idx="91">
                  <c:v>9.9174999999999999E-2</c:v>
                </c:pt>
                <c:pt idx="92">
                  <c:v>0.10009999999999999</c:v>
                </c:pt>
                <c:pt idx="93">
                  <c:v>0.10102499999999999</c:v>
                </c:pt>
                <c:pt idx="94">
                  <c:v>0.10195</c:v>
                </c:pt>
                <c:pt idx="95">
                  <c:v>0.10287499999999999</c:v>
                </c:pt>
                <c:pt idx="96">
                  <c:v>0.10379999999999999</c:v>
                </c:pt>
                <c:pt idx="97">
                  <c:v>0.104725</c:v>
                </c:pt>
                <c:pt idx="98">
                  <c:v>0.10564999999999999</c:v>
                </c:pt>
                <c:pt idx="99">
                  <c:v>0.106575</c:v>
                </c:pt>
                <c:pt idx="100">
                  <c:v>0.1075</c:v>
                </c:pt>
                <c:pt idx="101">
                  <c:v>0.10842499999999999</c:v>
                </c:pt>
                <c:pt idx="102">
                  <c:v>0.10935</c:v>
                </c:pt>
                <c:pt idx="103">
                  <c:v>0.110275</c:v>
                </c:pt>
                <c:pt idx="104">
                  <c:v>0.11119999999999999</c:v>
                </c:pt>
                <c:pt idx="105">
                  <c:v>0.112125</c:v>
                </c:pt>
                <c:pt idx="106">
                  <c:v>0.11305</c:v>
                </c:pt>
                <c:pt idx="107">
                  <c:v>0.11397499999999999</c:v>
                </c:pt>
                <c:pt idx="108">
                  <c:v>0.1149</c:v>
                </c:pt>
                <c:pt idx="109">
                  <c:v>0.115825</c:v>
                </c:pt>
                <c:pt idx="110">
                  <c:v>0.11675000000000001</c:v>
                </c:pt>
                <c:pt idx="111">
                  <c:v>0.117675</c:v>
                </c:pt>
                <c:pt idx="112">
                  <c:v>0.1186</c:v>
                </c:pt>
                <c:pt idx="113">
                  <c:v>0.11952500000000001</c:v>
                </c:pt>
                <c:pt idx="114">
                  <c:v>0.12045</c:v>
                </c:pt>
                <c:pt idx="115">
                  <c:v>0.121375</c:v>
                </c:pt>
                <c:pt idx="116">
                  <c:v>0.12230000000000001</c:v>
                </c:pt>
                <c:pt idx="117">
                  <c:v>0.123225</c:v>
                </c:pt>
                <c:pt idx="118">
                  <c:v>0.12415</c:v>
                </c:pt>
                <c:pt idx="119">
                  <c:v>0.12507499999999999</c:v>
                </c:pt>
                <c:pt idx="120">
                  <c:v>0.126</c:v>
                </c:pt>
                <c:pt idx="121">
                  <c:v>0.12692500000000001</c:v>
                </c:pt>
                <c:pt idx="122">
                  <c:v>0.12785000000000002</c:v>
                </c:pt>
                <c:pt idx="123">
                  <c:v>0.128775</c:v>
                </c:pt>
                <c:pt idx="124">
                  <c:v>0.12970000000000001</c:v>
                </c:pt>
                <c:pt idx="125">
                  <c:v>0.13062499999999999</c:v>
                </c:pt>
                <c:pt idx="126">
                  <c:v>0.13155</c:v>
                </c:pt>
                <c:pt idx="127">
                  <c:v>0.13247500000000001</c:v>
                </c:pt>
                <c:pt idx="128">
                  <c:v>0.13340000000000002</c:v>
                </c:pt>
                <c:pt idx="129">
                  <c:v>0.13432499999999997</c:v>
                </c:pt>
                <c:pt idx="130">
                  <c:v>0.13525000000000001</c:v>
                </c:pt>
                <c:pt idx="131">
                  <c:v>0.13617499999999999</c:v>
                </c:pt>
                <c:pt idx="132">
                  <c:v>0.1371</c:v>
                </c:pt>
                <c:pt idx="133">
                  <c:v>0.13802500000000001</c:v>
                </c:pt>
                <c:pt idx="134">
                  <c:v>0.13894999999999999</c:v>
                </c:pt>
                <c:pt idx="135">
                  <c:v>0.13987500000000003</c:v>
                </c:pt>
                <c:pt idx="136">
                  <c:v>0.14079999999999998</c:v>
                </c:pt>
                <c:pt idx="137">
                  <c:v>0.14172499999999999</c:v>
                </c:pt>
                <c:pt idx="138">
                  <c:v>0.14265</c:v>
                </c:pt>
                <c:pt idx="139">
                  <c:v>0.14357500000000001</c:v>
                </c:pt>
                <c:pt idx="140">
                  <c:v>0.14450000000000002</c:v>
                </c:pt>
                <c:pt idx="141">
                  <c:v>0.14542500000000003</c:v>
                </c:pt>
                <c:pt idx="142">
                  <c:v>0.14634999999999998</c:v>
                </c:pt>
                <c:pt idx="143">
                  <c:v>0.14727499999999999</c:v>
                </c:pt>
                <c:pt idx="144">
                  <c:v>0.1482</c:v>
                </c:pt>
                <c:pt idx="145">
                  <c:v>0.14912500000000001</c:v>
                </c:pt>
                <c:pt idx="146">
                  <c:v>0.15005000000000002</c:v>
                </c:pt>
                <c:pt idx="147">
                  <c:v>0.15097500000000003</c:v>
                </c:pt>
                <c:pt idx="148">
                  <c:v>0.15189999999999998</c:v>
                </c:pt>
                <c:pt idx="149">
                  <c:v>0.15282499999999999</c:v>
                </c:pt>
                <c:pt idx="150">
                  <c:v>0.15375</c:v>
                </c:pt>
                <c:pt idx="151">
                  <c:v>0.15467500000000001</c:v>
                </c:pt>
                <c:pt idx="152">
                  <c:v>0.15560000000000002</c:v>
                </c:pt>
                <c:pt idx="153">
                  <c:v>0.15652500000000003</c:v>
                </c:pt>
                <c:pt idx="154">
                  <c:v>0.15744999999999998</c:v>
                </c:pt>
                <c:pt idx="155">
                  <c:v>0.15837499999999999</c:v>
                </c:pt>
                <c:pt idx="156">
                  <c:v>0.1593</c:v>
                </c:pt>
                <c:pt idx="157">
                  <c:v>0.16022500000000001</c:v>
                </c:pt>
                <c:pt idx="158">
                  <c:v>0.16115000000000002</c:v>
                </c:pt>
                <c:pt idx="159">
                  <c:v>0.16207499999999997</c:v>
                </c:pt>
                <c:pt idx="160">
                  <c:v>0.16300000000000003</c:v>
                </c:pt>
                <c:pt idx="161">
                  <c:v>0.16392499999999999</c:v>
                </c:pt>
                <c:pt idx="162">
                  <c:v>0.16485</c:v>
                </c:pt>
                <c:pt idx="163">
                  <c:v>0.16577500000000001</c:v>
                </c:pt>
                <c:pt idx="164">
                  <c:v>0.16670000000000001</c:v>
                </c:pt>
                <c:pt idx="165">
                  <c:v>0.16762499999999997</c:v>
                </c:pt>
                <c:pt idx="166">
                  <c:v>0.16854999999999998</c:v>
                </c:pt>
                <c:pt idx="167">
                  <c:v>0.16947499999999999</c:v>
                </c:pt>
                <c:pt idx="168">
                  <c:v>0.1704</c:v>
                </c:pt>
                <c:pt idx="169">
                  <c:v>0.17132500000000001</c:v>
                </c:pt>
                <c:pt idx="170">
                  <c:v>0.17225000000000001</c:v>
                </c:pt>
                <c:pt idx="171">
                  <c:v>0.17317499999999997</c:v>
                </c:pt>
                <c:pt idx="172">
                  <c:v>0.17409999999999998</c:v>
                </c:pt>
                <c:pt idx="173">
                  <c:v>0.17502499999999999</c:v>
                </c:pt>
                <c:pt idx="174">
                  <c:v>0.17595</c:v>
                </c:pt>
                <c:pt idx="175">
                  <c:v>0.176875</c:v>
                </c:pt>
                <c:pt idx="176">
                  <c:v>0.17780000000000001</c:v>
                </c:pt>
                <c:pt idx="177">
                  <c:v>0.17872499999999997</c:v>
                </c:pt>
                <c:pt idx="178">
                  <c:v>0.17964999999999998</c:v>
                </c:pt>
                <c:pt idx="179">
                  <c:v>0.18057499999999999</c:v>
                </c:pt>
                <c:pt idx="180">
                  <c:v>0.18149999999999999</c:v>
                </c:pt>
                <c:pt idx="181">
                  <c:v>0.182425</c:v>
                </c:pt>
                <c:pt idx="182">
                  <c:v>0.18335000000000001</c:v>
                </c:pt>
                <c:pt idx="183">
                  <c:v>0.18427499999999997</c:v>
                </c:pt>
                <c:pt idx="184">
                  <c:v>0.18519999999999998</c:v>
                </c:pt>
                <c:pt idx="185">
                  <c:v>0.18612499999999998</c:v>
                </c:pt>
                <c:pt idx="186">
                  <c:v>0.18704999999999999</c:v>
                </c:pt>
                <c:pt idx="187">
                  <c:v>0.187975</c:v>
                </c:pt>
                <c:pt idx="188">
                  <c:v>0.18890000000000001</c:v>
                </c:pt>
                <c:pt idx="189">
                  <c:v>0.18982499999999997</c:v>
                </c:pt>
                <c:pt idx="190">
                  <c:v>0.19074999999999998</c:v>
                </c:pt>
                <c:pt idx="191">
                  <c:v>0.19167499999999998</c:v>
                </c:pt>
                <c:pt idx="192">
                  <c:v>0.19259999999999999</c:v>
                </c:pt>
                <c:pt idx="193">
                  <c:v>0.193525</c:v>
                </c:pt>
                <c:pt idx="194">
                  <c:v>0.19445000000000001</c:v>
                </c:pt>
                <c:pt idx="195">
                  <c:v>0.19537500000000002</c:v>
                </c:pt>
                <c:pt idx="196">
                  <c:v>0.19629999999999997</c:v>
                </c:pt>
                <c:pt idx="197">
                  <c:v>0.19722499999999998</c:v>
                </c:pt>
                <c:pt idx="198">
                  <c:v>0.19814999999999999</c:v>
                </c:pt>
                <c:pt idx="199">
                  <c:v>0.199075</c:v>
                </c:pt>
                <c:pt idx="200">
                  <c:v>0.2</c:v>
                </c:pt>
              </c:numCache>
            </c:numRef>
          </c:xVal>
          <c:yVal>
            <c:numRef>
              <c:f>CurveData!$K$2:$K$202</c:f>
              <c:numCache>
                <c:formatCode>General</c:formatCode>
                <c:ptCount val="201"/>
                <c:pt idx="0">
                  <c:v>0</c:v>
                </c:pt>
                <c:pt idx="1">
                  <c:v>2.5106415663580213E-3</c:v>
                </c:pt>
                <c:pt idx="2">
                  <c:v>5.1076695679012378E-3</c:v>
                </c:pt>
                <c:pt idx="3">
                  <c:v>7.7887389583333336E-3</c:v>
                </c:pt>
                <c:pt idx="4">
                  <c:v>1.0551504691358033E-2</c:v>
                </c:pt>
                <c:pt idx="5">
                  <c:v>1.3393621720679016E-2</c:v>
                </c:pt>
                <c:pt idx="6">
                  <c:v>1.6312745E-2</c:v>
                </c:pt>
                <c:pt idx="7">
                  <c:v>1.9306529483024699E-2</c:v>
                </c:pt>
                <c:pt idx="8">
                  <c:v>2.2372630123456794E-2</c:v>
                </c:pt>
                <c:pt idx="9">
                  <c:v>2.5508701874999998E-2</c:v>
                </c:pt>
                <c:pt idx="10">
                  <c:v>2.8712399691358036E-2</c:v>
                </c:pt>
                <c:pt idx="11">
                  <c:v>3.1981378526234575E-2</c:v>
                </c:pt>
                <c:pt idx="12">
                  <c:v>3.5313293333333336E-2</c:v>
                </c:pt>
                <c:pt idx="13">
                  <c:v>3.8705799066358036E-2</c:v>
                </c:pt>
                <c:pt idx="14">
                  <c:v>4.2156550679012354E-2</c:v>
                </c:pt>
                <c:pt idx="15">
                  <c:v>4.5663203125000003E-2</c:v>
                </c:pt>
                <c:pt idx="16">
                  <c:v>4.9223411358024695E-2</c:v>
                </c:pt>
                <c:pt idx="17">
                  <c:v>5.293488597067901E-2</c:v>
                </c:pt>
                <c:pt idx="18">
                  <c:v>5.6985003666666659E-2</c:v>
                </c:pt>
                <c:pt idx="19">
                  <c:v>6.1325983158950617E-2</c:v>
                </c:pt>
                <c:pt idx="20">
                  <c:v>6.5902012345679023E-2</c:v>
                </c:pt>
                <c:pt idx="21">
                  <c:v>7.0657279125E-2</c:v>
                </c:pt>
                <c:pt idx="22">
                  <c:v>7.5535971395061741E-2</c:v>
                </c:pt>
                <c:pt idx="23">
                  <c:v>8.0482277054012369E-2</c:v>
                </c:pt>
                <c:pt idx="24">
                  <c:v>8.544038399999998E-2</c:v>
                </c:pt>
                <c:pt idx="25">
                  <c:v>9.0354480131172837E-2</c:v>
                </c:pt>
                <c:pt idx="26">
                  <c:v>9.5168753345679036E-2</c:v>
                </c:pt>
                <c:pt idx="27">
                  <c:v>9.9827391541666657E-2</c:v>
                </c:pt>
                <c:pt idx="28">
                  <c:v>0.10427458261728394</c:v>
                </c:pt>
                <c:pt idx="29">
                  <c:v>0.10845451447067903</c:v>
                </c:pt>
                <c:pt idx="30">
                  <c:v>0.11231137499999999</c:v>
                </c:pt>
                <c:pt idx="31">
                  <c:v>0.11578935210339508</c:v>
                </c:pt>
                <c:pt idx="32">
                  <c:v>0.11883263367901234</c:v>
                </c:pt>
                <c:pt idx="33">
                  <c:v>0.12143224856249998</c:v>
                </c:pt>
                <c:pt idx="34">
                  <c:v>0.12378326427777776</c:v>
                </c:pt>
                <c:pt idx="35">
                  <c:v>0.12593771440972223</c:v>
                </c:pt>
                <c:pt idx="36">
                  <c:v>0.12792303600000002</c:v>
                </c:pt>
                <c:pt idx="37">
                  <c:v>0.12976666609027779</c:v>
                </c:pt>
                <c:pt idx="38">
                  <c:v>0.13149604172222223</c:v>
                </c:pt>
                <c:pt idx="39">
                  <c:v>0.13313859993749999</c:v>
                </c:pt>
                <c:pt idx="40">
                  <c:v>0.13472177777777777</c:v>
                </c:pt>
                <c:pt idx="41">
                  <c:v>0.13627301228472219</c:v>
                </c:pt>
                <c:pt idx="42">
                  <c:v>0.13781974050000001</c:v>
                </c:pt>
                <c:pt idx="43">
                  <c:v>0.13938939946527779</c:v>
                </c:pt>
                <c:pt idx="44">
                  <c:v>0.14100942622222223</c:v>
                </c:pt>
                <c:pt idx="45">
                  <c:v>0.14270725781250002</c:v>
                </c:pt>
                <c:pt idx="46">
                  <c:v>0.14451033127777776</c:v>
                </c:pt>
                <c:pt idx="47">
                  <c:v>0.14644608365972223</c:v>
                </c:pt>
                <c:pt idx="48">
                  <c:v>0.14854195199999998</c:v>
                </c:pt>
                <c:pt idx="49">
                  <c:v>0.15081645441743827</c:v>
                </c:pt>
                <c:pt idx="50">
                  <c:v>0.15318528163580247</c:v>
                </c:pt>
                <c:pt idx="51">
                  <c:v>0.15562541093750001</c:v>
                </c:pt>
                <c:pt idx="52">
                  <c:v>0.15814270493827157</c:v>
                </c:pt>
                <c:pt idx="53">
                  <c:v>0.160743026253858</c:v>
                </c:pt>
                <c:pt idx="54">
                  <c:v>0.16343223750000002</c:v>
                </c:pt>
                <c:pt idx="55">
                  <c:v>0.1662162012924383</c:v>
                </c:pt>
                <c:pt idx="56">
                  <c:v>0.16910078024691358</c:v>
                </c:pt>
                <c:pt idx="57">
                  <c:v>0.17209183697916672</c:v>
                </c:pt>
                <c:pt idx="58">
                  <c:v>0.17519523410493829</c:v>
                </c:pt>
                <c:pt idx="59">
                  <c:v>0.17841683423996915</c:v>
                </c:pt>
                <c:pt idx="60">
                  <c:v>0.18176250000000005</c:v>
                </c:pt>
                <c:pt idx="61">
                  <c:v>0.18523809400077165</c:v>
                </c:pt>
                <c:pt idx="62">
                  <c:v>0.18884947885802469</c:v>
                </c:pt>
                <c:pt idx="63">
                  <c:v>0.19260251718749999</c:v>
                </c:pt>
                <c:pt idx="64">
                  <c:v>0.1965030716049383</c:v>
                </c:pt>
                <c:pt idx="65">
                  <c:v>0.20055787037037037</c:v>
                </c:pt>
                <c:pt idx="66">
                  <c:v>0.20482999999999998</c:v>
                </c:pt>
                <c:pt idx="67">
                  <c:v>0.20935564814814811</c:v>
                </c:pt>
                <c:pt idx="68">
                  <c:v>0.21413481481481483</c:v>
                </c:pt>
                <c:pt idx="69">
                  <c:v>0.21916750000000007</c:v>
                </c:pt>
                <c:pt idx="70">
                  <c:v>0.22445370370370374</c:v>
                </c:pt>
                <c:pt idx="71">
                  <c:v>0.22999342592592595</c:v>
                </c:pt>
                <c:pt idx="72">
                  <c:v>0.23578666666666673</c:v>
                </c:pt>
                <c:pt idx="73">
                  <c:v>0.24183342592592597</c:v>
                </c:pt>
                <c:pt idx="74">
                  <c:v>0.24813370370370372</c:v>
                </c:pt>
                <c:pt idx="75">
                  <c:v>0.25468750000000007</c:v>
                </c:pt>
                <c:pt idx="76">
                  <c:v>0.26149481481481485</c:v>
                </c:pt>
                <c:pt idx="77">
                  <c:v>0.26855564814814814</c:v>
                </c:pt>
                <c:pt idx="78">
                  <c:v>0.27586999999999995</c:v>
                </c:pt>
                <c:pt idx="79">
                  <c:v>0.28343787037037044</c:v>
                </c:pt>
                <c:pt idx="80">
                  <c:v>0.29125925925925938</c:v>
                </c:pt>
                <c:pt idx="81">
                  <c:v>0.29933416666666657</c:v>
                </c:pt>
                <c:pt idx="82">
                  <c:v>0.30833507061728399</c:v>
                </c:pt>
                <c:pt idx="83">
                  <c:v>0.31901584234567898</c:v>
                </c:pt>
                <c:pt idx="84">
                  <c:v>0.33111935999999997</c:v>
                </c:pt>
                <c:pt idx="85">
                  <c:v>0.34438297839506177</c:v>
                </c:pt>
                <c:pt idx="86">
                  <c:v>0.35854405234567904</c:v>
                </c:pt>
                <c:pt idx="87">
                  <c:v>0.37333993666666654</c:v>
                </c:pt>
                <c:pt idx="88">
                  <c:v>0.38850798617283955</c:v>
                </c:pt>
                <c:pt idx="89">
                  <c:v>0.40378555567901231</c:v>
                </c:pt>
                <c:pt idx="90">
                  <c:v>0.41890999999999984</c:v>
                </c:pt>
                <c:pt idx="91">
                  <c:v>0.43361867395061726</c:v>
                </c:pt>
                <c:pt idx="92">
                  <c:v>0.44764893234567904</c:v>
                </c:pt>
                <c:pt idx="93">
                  <c:v>0.46073812999999986</c:v>
                </c:pt>
                <c:pt idx="94">
                  <c:v>0.47262362172839506</c:v>
                </c:pt>
                <c:pt idx="95">
                  <c:v>0.48304276234567894</c:v>
                </c:pt>
                <c:pt idx="96">
                  <c:v>0.49173290666666664</c:v>
                </c:pt>
                <c:pt idx="97">
                  <c:v>0.49843140950617287</c:v>
                </c:pt>
                <c:pt idx="98">
                  <c:v>0.50335644111111111</c:v>
                </c:pt>
                <c:pt idx="99">
                  <c:v>0.50777322875000008</c:v>
                </c:pt>
                <c:pt idx="100">
                  <c:v>0.51180555555555551</c:v>
                </c:pt>
                <c:pt idx="101">
                  <c:v>0.51549563236111107</c:v>
                </c:pt>
                <c:pt idx="102">
                  <c:v>0.51888567000000008</c:v>
                </c:pt>
                <c:pt idx="103">
                  <c:v>0.52201787930555554</c:v>
                </c:pt>
                <c:pt idx="104">
                  <c:v>0.52493447111111113</c:v>
                </c:pt>
                <c:pt idx="105">
                  <c:v>0.52767765625000007</c:v>
                </c:pt>
                <c:pt idx="106">
                  <c:v>0.53028964555555569</c:v>
                </c:pt>
                <c:pt idx="107">
                  <c:v>0.53281264986111121</c:v>
                </c:pt>
                <c:pt idx="108">
                  <c:v>0.53528888000000008</c:v>
                </c:pt>
                <c:pt idx="109">
                  <c:v>0.53776054680555563</c:v>
                </c:pt>
                <c:pt idx="110">
                  <c:v>0.54026986111111119</c:v>
                </c:pt>
                <c:pt idx="111">
                  <c:v>0.54285903375000011</c:v>
                </c:pt>
                <c:pt idx="112">
                  <c:v>0.54557027555555559</c:v>
                </c:pt>
                <c:pt idx="113">
                  <c:v>0.54844579736111121</c:v>
                </c:pt>
                <c:pt idx="114">
                  <c:v>0.55148545000000015</c:v>
                </c:pt>
                <c:pt idx="115">
                  <c:v>0.55445612461419769</c:v>
                </c:pt>
                <c:pt idx="116">
                  <c:v>0.55733489876543219</c:v>
                </c:pt>
                <c:pt idx="117">
                  <c:v>0.5601452229166668</c:v>
                </c:pt>
                <c:pt idx="118">
                  <c:v>0.56291054753086422</c:v>
                </c:pt>
                <c:pt idx="119">
                  <c:v>0.56565432307098773</c:v>
                </c:pt>
                <c:pt idx="120">
                  <c:v>0.56840000000000002</c:v>
                </c:pt>
                <c:pt idx="121">
                  <c:v>0.57117102878086423</c:v>
                </c:pt>
                <c:pt idx="122">
                  <c:v>0.5739908598765433</c:v>
                </c:pt>
                <c:pt idx="123">
                  <c:v>0.57688294375000004</c:v>
                </c:pt>
                <c:pt idx="124">
                  <c:v>0.5798707308641976</c:v>
                </c:pt>
                <c:pt idx="125">
                  <c:v>0.58297767168209869</c:v>
                </c:pt>
                <c:pt idx="126">
                  <c:v>0.58622721666666655</c:v>
                </c:pt>
                <c:pt idx="127">
                  <c:v>0.58964281628086423</c:v>
                </c:pt>
                <c:pt idx="128">
                  <c:v>0.59324792098765433</c:v>
                </c:pt>
                <c:pt idx="129">
                  <c:v>0.59706598124999977</c:v>
                </c:pt>
                <c:pt idx="130">
                  <c:v>0.60113299980087598</c:v>
                </c:pt>
                <c:pt idx="131">
                  <c:v>0.60568824776483465</c:v>
                </c:pt>
                <c:pt idx="132">
                  <c:v>0.61076603010752684</c:v>
                </c:pt>
                <c:pt idx="133">
                  <c:v>0.61630129070589401</c:v>
                </c:pt>
                <c:pt idx="134">
                  <c:v>0.62222897343687755</c:v>
                </c:pt>
                <c:pt idx="135">
                  <c:v>0.62848402217741939</c:v>
                </c:pt>
                <c:pt idx="136">
                  <c:v>0.63500138080446</c:v>
                </c:pt>
                <c:pt idx="137">
                  <c:v>0.64171599319494199</c:v>
                </c:pt>
                <c:pt idx="138">
                  <c:v>0.64856280322580628</c:v>
                </c:pt>
                <c:pt idx="139">
                  <c:v>0.65547675477399425</c:v>
                </c:pt>
                <c:pt idx="140">
                  <c:v>0.6623927917164476</c:v>
                </c:pt>
                <c:pt idx="141">
                  <c:v>0.66924585793010749</c:v>
                </c:pt>
                <c:pt idx="142">
                  <c:v>0.67597089729191517</c:v>
                </c:pt>
                <c:pt idx="143">
                  <c:v>0.68250285367881292</c:v>
                </c:pt>
                <c:pt idx="144">
                  <c:v>0.68877667096774176</c:v>
                </c:pt>
                <c:pt idx="145">
                  <c:v>0.69472729303564318</c:v>
                </c:pt>
                <c:pt idx="146">
                  <c:v>0.70029009834411016</c:v>
                </c:pt>
                <c:pt idx="147">
                  <c:v>0.70557786855860394</c:v>
                </c:pt>
                <c:pt idx="148">
                  <c:v>0.71072246704930719</c:v>
                </c:pt>
                <c:pt idx="149">
                  <c:v>0.71573385310721482</c:v>
                </c:pt>
                <c:pt idx="150">
                  <c:v>0.72062198602332161</c:v>
                </c:pt>
                <c:pt idx="151">
                  <c:v>0.7253968250886218</c:v>
                </c:pt>
                <c:pt idx="152">
                  <c:v>0.73006832959411005</c:v>
                </c:pt>
                <c:pt idx="153">
                  <c:v>0.73464645883078139</c:v>
                </c:pt>
                <c:pt idx="154">
                  <c:v>0.73914117208962971</c:v>
                </c:pt>
                <c:pt idx="155">
                  <c:v>0.74356242866165045</c:v>
                </c:pt>
                <c:pt idx="156">
                  <c:v>0.74792018783783776</c:v>
                </c:pt>
                <c:pt idx="157">
                  <c:v>0.75222440890918629</c:v>
                </c:pt>
                <c:pt idx="158">
                  <c:v>0.75648505116669085</c:v>
                </c:pt>
                <c:pt idx="159">
                  <c:v>0.76071207390134565</c:v>
                </c:pt>
                <c:pt idx="160">
                  <c:v>0.76491543640414617</c:v>
                </c:pt>
                <c:pt idx="161">
                  <c:v>0.76910509796608584</c:v>
                </c:pt>
                <c:pt idx="162">
                  <c:v>0.77329101787816035</c:v>
                </c:pt>
                <c:pt idx="163">
                  <c:v>0.77748315543136381</c:v>
                </c:pt>
                <c:pt idx="164">
                  <c:v>0.78169146991669092</c:v>
                </c:pt>
                <c:pt idx="165">
                  <c:v>0.78592592062513611</c:v>
                </c:pt>
                <c:pt idx="166">
                  <c:v>0.79019646684769429</c:v>
                </c:pt>
                <c:pt idx="167">
                  <c:v>0.79451306787536013</c:v>
                </c:pt>
                <c:pt idx="168">
                  <c:v>0.7988856829991281</c:v>
                </c:pt>
                <c:pt idx="169">
                  <c:v>0.80332427150999275</c:v>
                </c:pt>
                <c:pt idx="170">
                  <c:v>0.80783879269894898</c:v>
                </c:pt>
                <c:pt idx="171">
                  <c:v>0.81243920585699092</c:v>
                </c:pt>
                <c:pt idx="172">
                  <c:v>0.81713547027511368</c:v>
                </c:pt>
                <c:pt idx="173">
                  <c:v>0.82193754524431173</c:v>
                </c:pt>
                <c:pt idx="174">
                  <c:v>0.82685539005557973</c:v>
                </c:pt>
                <c:pt idx="175">
                  <c:v>0.83189896399991237</c:v>
                </c:pt>
                <c:pt idx="176">
                  <c:v>0.83707822636830387</c:v>
                </c:pt>
                <c:pt idx="177">
                  <c:v>0.84240313645174891</c:v>
                </c:pt>
                <c:pt idx="178">
                  <c:v>0.84788365354124284</c:v>
                </c:pt>
                <c:pt idx="179">
                  <c:v>0.85352680427734362</c:v>
                </c:pt>
                <c:pt idx="180">
                  <c:v>0.85932484374999996</c:v>
                </c:pt>
                <c:pt idx="181">
                  <c:v>0.86527206837890625</c:v>
                </c:pt>
                <c:pt idx="182">
                  <c:v>0.87136350484375014</c:v>
                </c:pt>
                <c:pt idx="183">
                  <c:v>0.8775941798242185</c:v>
                </c:pt>
                <c:pt idx="184">
                  <c:v>0.88395911999999988</c:v>
                </c:pt>
                <c:pt idx="185">
                  <c:v>0.89045335205078124</c:v>
                </c:pt>
                <c:pt idx="186">
                  <c:v>0.89707190265624992</c:v>
                </c:pt>
                <c:pt idx="187">
                  <c:v>0.90380979849609377</c:v>
                </c:pt>
                <c:pt idx="188">
                  <c:v>0.91066206625000001</c:v>
                </c:pt>
                <c:pt idx="189">
                  <c:v>0.91762373259765606</c:v>
                </c:pt>
                <c:pt idx="190">
                  <c:v>0.92468982421874979</c:v>
                </c:pt>
                <c:pt idx="191">
                  <c:v>0.93185536779296863</c:v>
                </c:pt>
                <c:pt idx="192">
                  <c:v>0.93911538999999988</c:v>
                </c:pt>
                <c:pt idx="193">
                  <c:v>0.9464649175195311</c:v>
                </c:pt>
                <c:pt idx="194">
                  <c:v>0.95389897703125004</c:v>
                </c:pt>
                <c:pt idx="195">
                  <c:v>0.9614125952148439</c:v>
                </c:pt>
                <c:pt idx="196">
                  <c:v>0.96900079874999978</c:v>
                </c:pt>
                <c:pt idx="197">
                  <c:v>0.9766586143164061</c:v>
                </c:pt>
                <c:pt idx="198">
                  <c:v>0.98438106859374985</c:v>
                </c:pt>
                <c:pt idx="199">
                  <c:v>0.99216318826171868</c:v>
                </c:pt>
                <c:pt idx="200">
                  <c:v>0.99999999999999989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5-4C44-BCC1-1BA3B492CE41}"/>
            </c:ext>
          </c:extLst>
        </c:ser>
        <c:ser>
          <c:idx val="0"/>
          <c:order val="1"/>
          <c:tx>
            <c:v>data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Spline!$A$2:$A$85</c:f>
              <c:numCache>
                <c:formatCode>0%</c:formatCode>
                <c:ptCount val="84"/>
                <c:pt idx="0">
                  <c:v>1.4999999999999999E-2</c:v>
                </c:pt>
                <c:pt idx="1">
                  <c:v>0.03</c:v>
                </c:pt>
                <c:pt idx="2">
                  <c:v>4.4999999999999998E-2</c:v>
                </c:pt>
                <c:pt idx="3">
                  <c:v>0.06</c:v>
                </c:pt>
                <c:pt idx="4">
                  <c:v>7.4999999999999997E-2</c:v>
                </c:pt>
                <c:pt idx="5">
                  <c:v>0.09</c:v>
                </c:pt>
                <c:pt idx="6">
                  <c:v>0.105</c:v>
                </c:pt>
                <c:pt idx="7">
                  <c:v>0.12</c:v>
                </c:pt>
                <c:pt idx="8">
                  <c:v>0.13500000000000001</c:v>
                </c:pt>
                <c:pt idx="9">
                  <c:v>0.15000000000000002</c:v>
                </c:pt>
                <c:pt idx="10">
                  <c:v>0.18</c:v>
                </c:pt>
                <c:pt idx="11">
                  <c:v>0.2</c:v>
                </c:pt>
              </c:numCache>
            </c:numRef>
          </c:xVal>
          <c:yVal>
            <c:numRef>
              <c:f>Spline!$B$2:$B$85</c:f>
              <c:numCache>
                <c:formatCode>0%</c:formatCode>
                <c:ptCount val="84"/>
                <c:pt idx="0">
                  <c:v>0</c:v>
                </c:pt>
                <c:pt idx="1">
                  <c:v>0.05</c:v>
                </c:pt>
                <c:pt idx="2">
                  <c:v>0.12</c:v>
                </c:pt>
                <c:pt idx="3">
                  <c:v>0.15</c:v>
                </c:pt>
                <c:pt idx="4">
                  <c:v>0.2</c:v>
                </c:pt>
                <c:pt idx="5">
                  <c:v>0.3</c:v>
                </c:pt>
                <c:pt idx="6">
                  <c:v>0.5</c:v>
                </c:pt>
                <c:pt idx="7">
                  <c:v>0.55000000000000004</c:v>
                </c:pt>
                <c:pt idx="8">
                  <c:v>0.6</c:v>
                </c:pt>
                <c:pt idx="9">
                  <c:v>0.7</c:v>
                </c:pt>
                <c:pt idx="10">
                  <c:v>0.85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55-4C44-BCC1-1BA3B492C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46024"/>
        <c:axId val="1"/>
      </c:scatterChart>
      <c:valAx>
        <c:axId val="49904602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93612993497764"/>
              <c:y val="0.876525790602394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2.2067363530778164E-2"/>
              <c:y val="0.378049380641444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499046024"/>
        <c:crosses val="autoZero"/>
        <c:crossBetween val="midCat"/>
        <c:majorUnit val="0.1"/>
        <c:minorUnit val="0.0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Probability Density Function</a:t>
            </a:r>
          </a:p>
        </c:rich>
      </c:tx>
      <c:layout>
        <c:manualLayout>
          <c:xMode val="edge"/>
          <c:yMode val="edge"/>
          <c:x val="0.27562202112795603"/>
          <c:y val="2.9829545454545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34829037145582"/>
          <c:y val="0.17613636363636365"/>
          <c:w val="0.82885592274368458"/>
          <c:h val="0.63494318181818188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1.4999999999999999E-2</c:v>
                </c:pt>
                <c:pt idx="1">
                  <c:v>1.5924999999999998E-2</c:v>
                </c:pt>
                <c:pt idx="2">
                  <c:v>1.685E-2</c:v>
                </c:pt>
                <c:pt idx="3">
                  <c:v>1.7774999999999999E-2</c:v>
                </c:pt>
                <c:pt idx="4">
                  <c:v>1.8700000000000001E-2</c:v>
                </c:pt>
                <c:pt idx="5">
                  <c:v>1.9625E-2</c:v>
                </c:pt>
                <c:pt idx="6">
                  <c:v>2.0549999999999999E-2</c:v>
                </c:pt>
                <c:pt idx="7">
                  <c:v>2.1475000000000001E-2</c:v>
                </c:pt>
                <c:pt idx="8">
                  <c:v>2.24E-2</c:v>
                </c:pt>
                <c:pt idx="9">
                  <c:v>2.3324999999999999E-2</c:v>
                </c:pt>
                <c:pt idx="10">
                  <c:v>2.4250000000000001E-2</c:v>
                </c:pt>
                <c:pt idx="11">
                  <c:v>2.5174999999999999E-2</c:v>
                </c:pt>
                <c:pt idx="12">
                  <c:v>2.6099999999999998E-2</c:v>
                </c:pt>
                <c:pt idx="13">
                  <c:v>2.7025E-2</c:v>
                </c:pt>
                <c:pt idx="14">
                  <c:v>2.7949999999999999E-2</c:v>
                </c:pt>
                <c:pt idx="15">
                  <c:v>2.8874999999999998E-2</c:v>
                </c:pt>
                <c:pt idx="16">
                  <c:v>2.98E-2</c:v>
                </c:pt>
                <c:pt idx="17">
                  <c:v>3.0724999999999999E-2</c:v>
                </c:pt>
                <c:pt idx="18">
                  <c:v>3.1649999999999998E-2</c:v>
                </c:pt>
                <c:pt idx="19">
                  <c:v>3.2575E-2</c:v>
                </c:pt>
                <c:pt idx="20">
                  <c:v>3.3500000000000002E-2</c:v>
                </c:pt>
                <c:pt idx="21">
                  <c:v>3.4424999999999997E-2</c:v>
                </c:pt>
                <c:pt idx="22">
                  <c:v>3.5349999999999999E-2</c:v>
                </c:pt>
                <c:pt idx="23">
                  <c:v>3.6275000000000002E-2</c:v>
                </c:pt>
                <c:pt idx="24">
                  <c:v>3.7199999999999997E-2</c:v>
                </c:pt>
                <c:pt idx="25">
                  <c:v>3.8124999999999999E-2</c:v>
                </c:pt>
                <c:pt idx="26">
                  <c:v>3.9050000000000001E-2</c:v>
                </c:pt>
                <c:pt idx="27">
                  <c:v>3.9974999999999997E-2</c:v>
                </c:pt>
                <c:pt idx="28">
                  <c:v>4.0899999999999999E-2</c:v>
                </c:pt>
                <c:pt idx="29">
                  <c:v>4.1825000000000001E-2</c:v>
                </c:pt>
                <c:pt idx="30">
                  <c:v>4.2749999999999996E-2</c:v>
                </c:pt>
                <c:pt idx="31">
                  <c:v>4.3675000000000005E-2</c:v>
                </c:pt>
                <c:pt idx="32">
                  <c:v>4.4600000000000001E-2</c:v>
                </c:pt>
                <c:pt idx="33">
                  <c:v>4.5524999999999996E-2</c:v>
                </c:pt>
                <c:pt idx="34">
                  <c:v>4.6449999999999998E-2</c:v>
                </c:pt>
                <c:pt idx="35">
                  <c:v>4.7375E-2</c:v>
                </c:pt>
                <c:pt idx="36">
                  <c:v>4.8300000000000003E-2</c:v>
                </c:pt>
                <c:pt idx="37">
                  <c:v>4.9224999999999998E-2</c:v>
                </c:pt>
                <c:pt idx="38">
                  <c:v>5.015E-2</c:v>
                </c:pt>
                <c:pt idx="39">
                  <c:v>5.1074999999999995E-2</c:v>
                </c:pt>
                <c:pt idx="40">
                  <c:v>5.2000000000000005E-2</c:v>
                </c:pt>
                <c:pt idx="41">
                  <c:v>5.2925E-2</c:v>
                </c:pt>
                <c:pt idx="42">
                  <c:v>5.3849999999999995E-2</c:v>
                </c:pt>
                <c:pt idx="43">
                  <c:v>5.4774999999999997E-2</c:v>
                </c:pt>
                <c:pt idx="44">
                  <c:v>5.57E-2</c:v>
                </c:pt>
                <c:pt idx="45">
                  <c:v>5.6624999999999995E-2</c:v>
                </c:pt>
                <c:pt idx="46">
                  <c:v>5.7549999999999997E-2</c:v>
                </c:pt>
                <c:pt idx="47">
                  <c:v>5.8474999999999999E-2</c:v>
                </c:pt>
                <c:pt idx="48">
                  <c:v>5.9399999999999994E-2</c:v>
                </c:pt>
                <c:pt idx="49">
                  <c:v>6.0324999999999997E-2</c:v>
                </c:pt>
                <c:pt idx="50">
                  <c:v>6.1249999999999999E-2</c:v>
                </c:pt>
                <c:pt idx="51">
                  <c:v>6.2175000000000001E-2</c:v>
                </c:pt>
                <c:pt idx="52">
                  <c:v>6.3099999999999989E-2</c:v>
                </c:pt>
                <c:pt idx="53">
                  <c:v>6.4024999999999999E-2</c:v>
                </c:pt>
                <c:pt idx="54">
                  <c:v>6.4950000000000008E-2</c:v>
                </c:pt>
                <c:pt idx="55">
                  <c:v>6.5875000000000003E-2</c:v>
                </c:pt>
                <c:pt idx="56">
                  <c:v>6.6799999999999998E-2</c:v>
                </c:pt>
                <c:pt idx="57">
                  <c:v>6.7725000000000007E-2</c:v>
                </c:pt>
                <c:pt idx="58">
                  <c:v>6.8650000000000003E-2</c:v>
                </c:pt>
                <c:pt idx="59">
                  <c:v>6.9574999999999998E-2</c:v>
                </c:pt>
                <c:pt idx="60">
                  <c:v>7.0500000000000007E-2</c:v>
                </c:pt>
                <c:pt idx="61">
                  <c:v>7.1425000000000002E-2</c:v>
                </c:pt>
                <c:pt idx="62">
                  <c:v>7.2349999999999998E-2</c:v>
                </c:pt>
                <c:pt idx="63">
                  <c:v>7.3274999999999993E-2</c:v>
                </c:pt>
                <c:pt idx="64">
                  <c:v>7.4200000000000002E-2</c:v>
                </c:pt>
                <c:pt idx="65">
                  <c:v>7.5124999999999997E-2</c:v>
                </c:pt>
                <c:pt idx="66">
                  <c:v>7.6049999999999993E-2</c:v>
                </c:pt>
                <c:pt idx="67">
                  <c:v>7.6974999999999988E-2</c:v>
                </c:pt>
                <c:pt idx="68">
                  <c:v>7.7899999999999997E-2</c:v>
                </c:pt>
                <c:pt idx="69">
                  <c:v>7.8825000000000006E-2</c:v>
                </c:pt>
                <c:pt idx="70">
                  <c:v>7.9750000000000001E-2</c:v>
                </c:pt>
                <c:pt idx="71">
                  <c:v>8.0674999999999997E-2</c:v>
                </c:pt>
                <c:pt idx="72">
                  <c:v>8.1600000000000006E-2</c:v>
                </c:pt>
                <c:pt idx="73">
                  <c:v>8.2525000000000001E-2</c:v>
                </c:pt>
                <c:pt idx="74">
                  <c:v>8.3449999999999996E-2</c:v>
                </c:pt>
                <c:pt idx="75">
                  <c:v>8.4375000000000006E-2</c:v>
                </c:pt>
                <c:pt idx="76">
                  <c:v>8.5300000000000001E-2</c:v>
                </c:pt>
                <c:pt idx="77">
                  <c:v>8.6224999999999996E-2</c:v>
                </c:pt>
                <c:pt idx="78">
                  <c:v>8.7149999999999991E-2</c:v>
                </c:pt>
                <c:pt idx="79">
                  <c:v>8.8075000000000001E-2</c:v>
                </c:pt>
                <c:pt idx="80">
                  <c:v>8.900000000000001E-2</c:v>
                </c:pt>
                <c:pt idx="81">
                  <c:v>8.9924999999999991E-2</c:v>
                </c:pt>
                <c:pt idx="82">
                  <c:v>9.085E-2</c:v>
                </c:pt>
                <c:pt idx="83">
                  <c:v>9.1774999999999995E-2</c:v>
                </c:pt>
                <c:pt idx="84">
                  <c:v>9.2699999999999991E-2</c:v>
                </c:pt>
                <c:pt idx="85">
                  <c:v>9.3625E-2</c:v>
                </c:pt>
                <c:pt idx="86">
                  <c:v>9.4549999999999995E-2</c:v>
                </c:pt>
                <c:pt idx="87">
                  <c:v>9.547499999999999E-2</c:v>
                </c:pt>
                <c:pt idx="88">
                  <c:v>9.64E-2</c:v>
                </c:pt>
                <c:pt idx="89">
                  <c:v>9.7324999999999995E-2</c:v>
                </c:pt>
                <c:pt idx="90">
                  <c:v>9.824999999999999E-2</c:v>
                </c:pt>
                <c:pt idx="91">
                  <c:v>9.9174999999999999E-2</c:v>
                </c:pt>
                <c:pt idx="92">
                  <c:v>0.10009999999999999</c:v>
                </c:pt>
                <c:pt idx="93">
                  <c:v>0.10102499999999999</c:v>
                </c:pt>
                <c:pt idx="94">
                  <c:v>0.10195</c:v>
                </c:pt>
                <c:pt idx="95">
                  <c:v>0.10287499999999999</c:v>
                </c:pt>
                <c:pt idx="96">
                  <c:v>0.10379999999999999</c:v>
                </c:pt>
                <c:pt idx="97">
                  <c:v>0.104725</c:v>
                </c:pt>
                <c:pt idx="98">
                  <c:v>0.10564999999999999</c:v>
                </c:pt>
                <c:pt idx="99">
                  <c:v>0.106575</c:v>
                </c:pt>
                <c:pt idx="100">
                  <c:v>0.1075</c:v>
                </c:pt>
                <c:pt idx="101">
                  <c:v>0.10842499999999999</c:v>
                </c:pt>
                <c:pt idx="102">
                  <c:v>0.10935</c:v>
                </c:pt>
                <c:pt idx="103">
                  <c:v>0.110275</c:v>
                </c:pt>
                <c:pt idx="104">
                  <c:v>0.11119999999999999</c:v>
                </c:pt>
                <c:pt idx="105">
                  <c:v>0.112125</c:v>
                </c:pt>
                <c:pt idx="106">
                  <c:v>0.11305</c:v>
                </c:pt>
                <c:pt idx="107">
                  <c:v>0.11397499999999999</c:v>
                </c:pt>
                <c:pt idx="108">
                  <c:v>0.1149</c:v>
                </c:pt>
                <c:pt idx="109">
                  <c:v>0.115825</c:v>
                </c:pt>
                <c:pt idx="110">
                  <c:v>0.11675000000000001</c:v>
                </c:pt>
                <c:pt idx="111">
                  <c:v>0.117675</c:v>
                </c:pt>
                <c:pt idx="112">
                  <c:v>0.1186</c:v>
                </c:pt>
                <c:pt idx="113">
                  <c:v>0.11952500000000001</c:v>
                </c:pt>
                <c:pt idx="114">
                  <c:v>0.12045</c:v>
                </c:pt>
                <c:pt idx="115">
                  <c:v>0.121375</c:v>
                </c:pt>
                <c:pt idx="116">
                  <c:v>0.12230000000000001</c:v>
                </c:pt>
                <c:pt idx="117">
                  <c:v>0.123225</c:v>
                </c:pt>
                <c:pt idx="118">
                  <c:v>0.12415</c:v>
                </c:pt>
                <c:pt idx="119">
                  <c:v>0.12507499999999999</c:v>
                </c:pt>
                <c:pt idx="120">
                  <c:v>0.126</c:v>
                </c:pt>
                <c:pt idx="121">
                  <c:v>0.12692500000000001</c:v>
                </c:pt>
                <c:pt idx="122">
                  <c:v>0.12785000000000002</c:v>
                </c:pt>
                <c:pt idx="123">
                  <c:v>0.128775</c:v>
                </c:pt>
                <c:pt idx="124">
                  <c:v>0.12970000000000001</c:v>
                </c:pt>
                <c:pt idx="125">
                  <c:v>0.13062499999999999</c:v>
                </c:pt>
                <c:pt idx="126">
                  <c:v>0.13155</c:v>
                </c:pt>
                <c:pt idx="127">
                  <c:v>0.13247500000000001</c:v>
                </c:pt>
                <c:pt idx="128">
                  <c:v>0.13340000000000002</c:v>
                </c:pt>
                <c:pt idx="129">
                  <c:v>0.13432499999999997</c:v>
                </c:pt>
                <c:pt idx="130">
                  <c:v>0.13525000000000001</c:v>
                </c:pt>
                <c:pt idx="131">
                  <c:v>0.13617499999999999</c:v>
                </c:pt>
                <c:pt idx="132">
                  <c:v>0.1371</c:v>
                </c:pt>
                <c:pt idx="133">
                  <c:v>0.13802500000000001</c:v>
                </c:pt>
                <c:pt idx="134">
                  <c:v>0.13894999999999999</c:v>
                </c:pt>
                <c:pt idx="135">
                  <c:v>0.13987500000000003</c:v>
                </c:pt>
                <c:pt idx="136">
                  <c:v>0.14079999999999998</c:v>
                </c:pt>
                <c:pt idx="137">
                  <c:v>0.14172499999999999</c:v>
                </c:pt>
                <c:pt idx="138">
                  <c:v>0.14265</c:v>
                </c:pt>
                <c:pt idx="139">
                  <c:v>0.14357500000000001</c:v>
                </c:pt>
                <c:pt idx="140">
                  <c:v>0.14450000000000002</c:v>
                </c:pt>
                <c:pt idx="141">
                  <c:v>0.14542500000000003</c:v>
                </c:pt>
                <c:pt idx="142">
                  <c:v>0.14634999999999998</c:v>
                </c:pt>
                <c:pt idx="143">
                  <c:v>0.14727499999999999</c:v>
                </c:pt>
                <c:pt idx="144">
                  <c:v>0.1482</c:v>
                </c:pt>
                <c:pt idx="145">
                  <c:v>0.14912500000000001</c:v>
                </c:pt>
                <c:pt idx="146">
                  <c:v>0.15005000000000002</c:v>
                </c:pt>
                <c:pt idx="147">
                  <c:v>0.15097500000000003</c:v>
                </c:pt>
                <c:pt idx="148">
                  <c:v>0.15189999999999998</c:v>
                </c:pt>
                <c:pt idx="149">
                  <c:v>0.15282499999999999</c:v>
                </c:pt>
                <c:pt idx="150">
                  <c:v>0.15375</c:v>
                </c:pt>
                <c:pt idx="151">
                  <c:v>0.15467500000000001</c:v>
                </c:pt>
                <c:pt idx="152">
                  <c:v>0.15560000000000002</c:v>
                </c:pt>
                <c:pt idx="153">
                  <c:v>0.15652500000000003</c:v>
                </c:pt>
                <c:pt idx="154">
                  <c:v>0.15744999999999998</c:v>
                </c:pt>
                <c:pt idx="155">
                  <c:v>0.15837499999999999</c:v>
                </c:pt>
                <c:pt idx="156">
                  <c:v>0.1593</c:v>
                </c:pt>
                <c:pt idx="157">
                  <c:v>0.16022500000000001</c:v>
                </c:pt>
                <c:pt idx="158">
                  <c:v>0.16115000000000002</c:v>
                </c:pt>
                <c:pt idx="159">
                  <c:v>0.16207499999999997</c:v>
                </c:pt>
                <c:pt idx="160">
                  <c:v>0.16300000000000003</c:v>
                </c:pt>
                <c:pt idx="161">
                  <c:v>0.16392499999999999</c:v>
                </c:pt>
                <c:pt idx="162">
                  <c:v>0.16485</c:v>
                </c:pt>
                <c:pt idx="163">
                  <c:v>0.16577500000000001</c:v>
                </c:pt>
                <c:pt idx="164">
                  <c:v>0.16670000000000001</c:v>
                </c:pt>
                <c:pt idx="165">
                  <c:v>0.16762499999999997</c:v>
                </c:pt>
                <c:pt idx="166">
                  <c:v>0.16854999999999998</c:v>
                </c:pt>
                <c:pt idx="167">
                  <c:v>0.16947499999999999</c:v>
                </c:pt>
                <c:pt idx="168">
                  <c:v>0.1704</c:v>
                </c:pt>
                <c:pt idx="169">
                  <c:v>0.17132500000000001</c:v>
                </c:pt>
                <c:pt idx="170">
                  <c:v>0.17225000000000001</c:v>
                </c:pt>
                <c:pt idx="171">
                  <c:v>0.17317499999999997</c:v>
                </c:pt>
                <c:pt idx="172">
                  <c:v>0.17409999999999998</c:v>
                </c:pt>
                <c:pt idx="173">
                  <c:v>0.17502499999999999</c:v>
                </c:pt>
                <c:pt idx="174">
                  <c:v>0.17595</c:v>
                </c:pt>
                <c:pt idx="175">
                  <c:v>0.176875</c:v>
                </c:pt>
                <c:pt idx="176">
                  <c:v>0.17780000000000001</c:v>
                </c:pt>
                <c:pt idx="177">
                  <c:v>0.17872499999999997</c:v>
                </c:pt>
                <c:pt idx="178">
                  <c:v>0.17964999999999998</c:v>
                </c:pt>
                <c:pt idx="179">
                  <c:v>0.18057499999999999</c:v>
                </c:pt>
                <c:pt idx="180">
                  <c:v>0.18149999999999999</c:v>
                </c:pt>
                <c:pt idx="181">
                  <c:v>0.182425</c:v>
                </c:pt>
                <c:pt idx="182">
                  <c:v>0.18335000000000001</c:v>
                </c:pt>
                <c:pt idx="183">
                  <c:v>0.18427499999999997</c:v>
                </c:pt>
                <c:pt idx="184">
                  <c:v>0.18519999999999998</c:v>
                </c:pt>
                <c:pt idx="185">
                  <c:v>0.18612499999999998</c:v>
                </c:pt>
                <c:pt idx="186">
                  <c:v>0.18704999999999999</c:v>
                </c:pt>
                <c:pt idx="187">
                  <c:v>0.187975</c:v>
                </c:pt>
                <c:pt idx="188">
                  <c:v>0.18890000000000001</c:v>
                </c:pt>
                <c:pt idx="189">
                  <c:v>0.18982499999999997</c:v>
                </c:pt>
                <c:pt idx="190">
                  <c:v>0.19074999999999998</c:v>
                </c:pt>
                <c:pt idx="191">
                  <c:v>0.19167499999999998</c:v>
                </c:pt>
                <c:pt idx="192">
                  <c:v>0.19259999999999999</c:v>
                </c:pt>
                <c:pt idx="193">
                  <c:v>0.193525</c:v>
                </c:pt>
                <c:pt idx="194">
                  <c:v>0.19445000000000001</c:v>
                </c:pt>
                <c:pt idx="195">
                  <c:v>0.19537500000000002</c:v>
                </c:pt>
                <c:pt idx="196">
                  <c:v>0.19629999999999997</c:v>
                </c:pt>
                <c:pt idx="197">
                  <c:v>0.19722499999999998</c:v>
                </c:pt>
                <c:pt idx="198">
                  <c:v>0.19814999999999999</c:v>
                </c:pt>
                <c:pt idx="199">
                  <c:v>0.199075</c:v>
                </c:pt>
                <c:pt idx="200">
                  <c:v>0.2</c:v>
                </c:pt>
              </c:numCache>
            </c:numRef>
          </c:xVal>
          <c:yVal>
            <c:numRef>
              <c:f>CurveData!$L$2:$L$202</c:f>
              <c:numCache>
                <c:formatCode>General</c:formatCode>
                <c:ptCount val="201"/>
                <c:pt idx="0">
                  <c:v>0</c:v>
                </c:pt>
                <c:pt idx="1">
                  <c:v>2.7609024691358028</c:v>
                </c:pt>
                <c:pt idx="2">
                  <c:v>2.8530256172839512</c:v>
                </c:pt>
                <c:pt idx="3">
                  <c:v>2.9426135802469147</c:v>
                </c:pt>
                <c:pt idx="4">
                  <c:v>3.0296663580246919</c:v>
                </c:pt>
                <c:pt idx="5">
                  <c:v>3.1141839506172837</c:v>
                </c:pt>
                <c:pt idx="6">
                  <c:v>3.196166358024692</c:v>
                </c:pt>
                <c:pt idx="7">
                  <c:v>3.2756135802469144</c:v>
                </c:pt>
                <c:pt idx="8">
                  <c:v>3.3525256172839497</c:v>
                </c:pt>
                <c:pt idx="9">
                  <c:v>3.4269024691358045</c:v>
                </c:pt>
                <c:pt idx="10">
                  <c:v>3.4987441358024722</c:v>
                </c:pt>
                <c:pt idx="11">
                  <c:v>3.5680506172839506</c:v>
                </c:pt>
                <c:pt idx="12">
                  <c:v>3.6348219135802475</c:v>
                </c:pt>
                <c:pt idx="13">
                  <c:v>3.6990580246913596</c:v>
                </c:pt>
                <c:pt idx="14">
                  <c:v>3.7607589506172845</c:v>
                </c:pt>
                <c:pt idx="15">
                  <c:v>3.81992469135802</c:v>
                </c:pt>
                <c:pt idx="16">
                  <c:v>3.9306393760427047</c:v>
                </c:pt>
                <c:pt idx="17">
                  <c:v>4.1954553019686349</c:v>
                </c:pt>
                <c:pt idx="18">
                  <c:v>4.5357282098765417</c:v>
                </c:pt>
                <c:pt idx="19">
                  <c:v>4.8200046913580232</c:v>
                </c:pt>
                <c:pt idx="20">
                  <c:v>5.0439437654321058</c:v>
                </c:pt>
                <c:pt idx="21">
                  <c:v>5.2075454320987733</c:v>
                </c:pt>
                <c:pt idx="22">
                  <c:v>5.3108096913580249</c:v>
                </c:pt>
                <c:pt idx="23">
                  <c:v>5.3537365432098669</c:v>
                </c:pt>
                <c:pt idx="24">
                  <c:v>5.3363259876543143</c:v>
                </c:pt>
                <c:pt idx="25">
                  <c:v>5.2585780246913689</c:v>
                </c:pt>
                <c:pt idx="26">
                  <c:v>5.1204926543209908</c:v>
                </c:pt>
                <c:pt idx="27">
                  <c:v>4.9220698765431967</c:v>
                </c:pt>
                <c:pt idx="28">
                  <c:v>4.6633096913580259</c:v>
                </c:pt>
                <c:pt idx="29">
                  <c:v>4.3442120987654409</c:v>
                </c:pt>
                <c:pt idx="30">
                  <c:v>3.9647770987654267</c:v>
                </c:pt>
                <c:pt idx="31">
                  <c:v>3.5250046913580175</c:v>
                </c:pt>
                <c:pt idx="32">
                  <c:v>3.050214302218881</c:v>
                </c:pt>
                <c:pt idx="33">
                  <c:v>2.6760165398732054</c:v>
                </c:pt>
                <c:pt idx="34">
                  <c:v>2.435386944444454</c:v>
                </c:pt>
                <c:pt idx="35">
                  <c:v>2.2377144444444568</c:v>
                </c:pt>
                <c:pt idx="36">
                  <c:v>2.0697036111111129</c:v>
                </c:pt>
                <c:pt idx="37">
                  <c:v>1.9313544444444442</c:v>
                </c:pt>
                <c:pt idx="38">
                  <c:v>1.8226669444444363</c:v>
                </c:pt>
                <c:pt idx="39">
                  <c:v>1.7436411111110981</c:v>
                </c:pt>
                <c:pt idx="40">
                  <c:v>1.6942769444444277</c:v>
                </c:pt>
                <c:pt idx="41">
                  <c:v>1.6745744444444606</c:v>
                </c:pt>
                <c:pt idx="42">
                  <c:v>1.6845336111111355</c:v>
                </c:pt>
                <c:pt idx="43">
                  <c:v>1.7241544444444414</c:v>
                </c:pt>
                <c:pt idx="44">
                  <c:v>1.7934369444444511</c:v>
                </c:pt>
                <c:pt idx="45">
                  <c:v>1.8923811111111004</c:v>
                </c:pt>
                <c:pt idx="46">
                  <c:v>2.0209869444444331</c:v>
                </c:pt>
                <c:pt idx="47">
                  <c:v>2.1792544444444419</c:v>
                </c:pt>
                <c:pt idx="48">
                  <c:v>2.3623625717384038</c:v>
                </c:pt>
                <c:pt idx="49">
                  <c:v>2.5099079112445861</c:v>
                </c:pt>
                <c:pt idx="50">
                  <c:v>2.5994359567901273</c:v>
                </c:pt>
                <c:pt idx="51">
                  <c:v>2.6796882716049293</c:v>
                </c:pt>
                <c:pt idx="52">
                  <c:v>2.7662785493826996</c:v>
                </c:pt>
                <c:pt idx="53">
                  <c:v>2.8592067901234608</c:v>
                </c:pt>
                <c:pt idx="54">
                  <c:v>2.9584729938271832</c:v>
                </c:pt>
                <c:pt idx="55">
                  <c:v>3.0640771604938304</c:v>
                </c:pt>
                <c:pt idx="56">
                  <c:v>3.1760192901234596</c:v>
                </c:pt>
                <c:pt idx="57">
                  <c:v>3.2942993827160496</c:v>
                </c:pt>
                <c:pt idx="58">
                  <c:v>3.4189174382716034</c:v>
                </c:pt>
                <c:pt idx="59">
                  <c:v>3.549873456790134</c:v>
                </c:pt>
                <c:pt idx="60">
                  <c:v>3.6871674382716133</c:v>
                </c:pt>
                <c:pt idx="61">
                  <c:v>3.830799382716044</c:v>
                </c:pt>
                <c:pt idx="62">
                  <c:v>3.9807692901234453</c:v>
                </c:pt>
                <c:pt idx="63">
                  <c:v>4.1370771604938286</c:v>
                </c:pt>
                <c:pt idx="64">
                  <c:v>4.3001909096596567</c:v>
                </c:pt>
                <c:pt idx="65">
                  <c:v>4.5010423757090443</c:v>
                </c:pt>
                <c:pt idx="66">
                  <c:v>4.7555555555555582</c:v>
                </c:pt>
                <c:pt idx="67">
                  <c:v>5.0296296296296363</c:v>
                </c:pt>
                <c:pt idx="68">
                  <c:v>5.30370370370371</c:v>
                </c:pt>
                <c:pt idx="69">
                  <c:v>5.5777777777777731</c:v>
                </c:pt>
                <c:pt idx="70">
                  <c:v>5.8518518518518556</c:v>
                </c:pt>
                <c:pt idx="71">
                  <c:v>6.1259259259259258</c:v>
                </c:pt>
                <c:pt idx="72">
                  <c:v>6.3999999999999941</c:v>
                </c:pt>
                <c:pt idx="73">
                  <c:v>6.6740740740740829</c:v>
                </c:pt>
                <c:pt idx="74">
                  <c:v>6.948148148148146</c:v>
                </c:pt>
                <c:pt idx="75">
                  <c:v>7.2222222222222143</c:v>
                </c:pt>
                <c:pt idx="76">
                  <c:v>7.4962962962962942</c:v>
                </c:pt>
                <c:pt idx="77">
                  <c:v>7.7703703703703653</c:v>
                </c:pt>
                <c:pt idx="78">
                  <c:v>8.0444444444444656</c:v>
                </c:pt>
                <c:pt idx="79">
                  <c:v>8.3185185185185322</c:v>
                </c:pt>
                <c:pt idx="80">
                  <c:v>8.5925925925925473</c:v>
                </c:pt>
                <c:pt idx="81">
                  <c:v>9.2301683016349703</c:v>
                </c:pt>
                <c:pt idx="82">
                  <c:v>10.638743610276954</c:v>
                </c:pt>
                <c:pt idx="83">
                  <c:v>12.31583209876546</c:v>
                </c:pt>
                <c:pt idx="84">
                  <c:v>13.711965432098772</c:v>
                </c:pt>
                <c:pt idx="85">
                  <c:v>14.824158024691354</c:v>
                </c:pt>
                <c:pt idx="86">
                  <c:v>15.652409876543199</c:v>
                </c:pt>
                <c:pt idx="87">
                  <c:v>16.196720987654288</c:v>
                </c:pt>
                <c:pt idx="88">
                  <c:v>16.457091358024702</c:v>
                </c:pt>
                <c:pt idx="89">
                  <c:v>16.433520987654294</c:v>
                </c:pt>
                <c:pt idx="90">
                  <c:v>16.126009876543179</c:v>
                </c:pt>
                <c:pt idx="91">
                  <c:v>15.534558024691423</c:v>
                </c:pt>
                <c:pt idx="92">
                  <c:v>14.659165432098774</c:v>
                </c:pt>
                <c:pt idx="93">
                  <c:v>13.499832098765383</c:v>
                </c:pt>
                <c:pt idx="94">
                  <c:v>12.05655802469137</c:v>
                </c:pt>
                <c:pt idx="95">
                  <c:v>10.32934320987658</c:v>
                </c:pt>
                <c:pt idx="96">
                  <c:v>8.3181876543210223</c:v>
                </c:pt>
                <c:pt idx="97">
                  <c:v>6.2829915915915917</c:v>
                </c:pt>
                <c:pt idx="98">
                  <c:v>5.0496320236903713</c:v>
                </c:pt>
                <c:pt idx="99">
                  <c:v>4.5670888888888568</c:v>
                </c:pt>
                <c:pt idx="100">
                  <c:v>4.1742722222221751</c:v>
                </c:pt>
                <c:pt idx="101">
                  <c:v>3.8270888888889436</c:v>
                </c:pt>
                <c:pt idx="102">
                  <c:v>3.5255388888888977</c:v>
                </c:pt>
                <c:pt idx="103">
                  <c:v>3.26962222222221</c:v>
                </c:pt>
                <c:pt idx="104">
                  <c:v>3.0593388888889268</c:v>
                </c:pt>
                <c:pt idx="105">
                  <c:v>2.8946888888889415</c:v>
                </c:pt>
                <c:pt idx="106">
                  <c:v>2.775672222222251</c:v>
                </c:pt>
                <c:pt idx="107">
                  <c:v>2.7022888888888525</c:v>
                </c:pt>
                <c:pt idx="108">
                  <c:v>2.6745388888888688</c:v>
                </c:pt>
                <c:pt idx="109">
                  <c:v>2.6924222222222185</c:v>
                </c:pt>
                <c:pt idx="110">
                  <c:v>2.7559388888889016</c:v>
                </c:pt>
                <c:pt idx="111">
                  <c:v>2.8650888888888804</c:v>
                </c:pt>
                <c:pt idx="112">
                  <c:v>3.0198722222222094</c:v>
                </c:pt>
                <c:pt idx="113">
                  <c:v>3.1973915915916464</c:v>
                </c:pt>
                <c:pt idx="114">
                  <c:v>3.2488255422089236</c:v>
                </c:pt>
                <c:pt idx="115">
                  <c:v>3.1618641975308197</c:v>
                </c:pt>
                <c:pt idx="116">
                  <c:v>3.0751882716049161</c:v>
                </c:pt>
                <c:pt idx="117">
                  <c:v>3.0138641975308476</c:v>
                </c:pt>
                <c:pt idx="118">
                  <c:v>2.9778919753086281</c:v>
                </c:pt>
                <c:pt idx="119">
                  <c:v>2.9672716049382588</c:v>
                </c:pt>
                <c:pt idx="120">
                  <c:v>2.9820030864197009</c:v>
                </c:pt>
                <c:pt idx="121">
                  <c:v>3.0220864197530979</c:v>
                </c:pt>
                <c:pt idx="122">
                  <c:v>3.0875216049382925</c:v>
                </c:pt>
                <c:pt idx="123">
                  <c:v>3.1783086419753142</c:v>
                </c:pt>
                <c:pt idx="124">
                  <c:v>3.2944475308641481</c:v>
                </c:pt>
                <c:pt idx="125">
                  <c:v>3.4359382716048539</c:v>
                </c:pt>
                <c:pt idx="126">
                  <c:v>3.6027808641975585</c:v>
                </c:pt>
                <c:pt idx="127">
                  <c:v>3.7949753086420062</c:v>
                </c:pt>
                <c:pt idx="128">
                  <c:v>4.0125216049382058</c:v>
                </c:pt>
                <c:pt idx="129">
                  <c:v>4.2622047639036147</c:v>
                </c:pt>
                <c:pt idx="130">
                  <c:v>4.6606846026134061</c:v>
                </c:pt>
                <c:pt idx="131">
                  <c:v>5.2070434090004909</c:v>
                </c:pt>
                <c:pt idx="132">
                  <c:v>5.7367799681401372</c:v>
                </c:pt>
                <c:pt idx="133">
                  <c:v>6.1961855834328512</c:v>
                </c:pt>
                <c:pt idx="134">
                  <c:v>6.5852602548785164</c:v>
                </c:pt>
                <c:pt idx="135">
                  <c:v>6.9040039824770352</c:v>
                </c:pt>
                <c:pt idx="136">
                  <c:v>7.152416766228578</c:v>
                </c:pt>
                <c:pt idx="137">
                  <c:v>7.3304986061330526</c:v>
                </c:pt>
                <c:pt idx="138">
                  <c:v>7.4382495021903381</c:v>
                </c:pt>
                <c:pt idx="139">
                  <c:v>7.4756694544006397</c:v>
                </c:pt>
                <c:pt idx="140">
                  <c:v>7.4427584627638392</c:v>
                </c:pt>
                <c:pt idx="141">
                  <c:v>7.3395165272799145</c:v>
                </c:pt>
                <c:pt idx="142">
                  <c:v>7.1659436479490219</c:v>
                </c:pt>
                <c:pt idx="143">
                  <c:v>6.9220398247710566</c:v>
                </c:pt>
                <c:pt idx="144">
                  <c:v>6.607805057746023</c:v>
                </c:pt>
                <c:pt idx="145">
                  <c:v>6.2234742574963713</c:v>
                </c:pt>
                <c:pt idx="146">
                  <c:v>5.865175958357109</c:v>
                </c:pt>
                <c:pt idx="147">
                  <c:v>5.6391182190255389</c:v>
                </c:pt>
                <c:pt idx="148">
                  <c:v>5.4897213776276166</c:v>
                </c:pt>
                <c:pt idx="149">
                  <c:v>5.3510913373050393</c:v>
                </c:pt>
                <c:pt idx="150">
                  <c:v>5.2232280980577732</c:v>
                </c:pt>
                <c:pt idx="151">
                  <c:v>5.1061316598855928</c:v>
                </c:pt>
                <c:pt idx="152">
                  <c:v>4.9998020227889182</c:v>
                </c:pt>
                <c:pt idx="153">
                  <c:v>4.9042391867674775</c:v>
                </c:pt>
                <c:pt idx="154">
                  <c:v>4.8194431518212122</c:v>
                </c:pt>
                <c:pt idx="155">
                  <c:v>4.7454139179502519</c:v>
                </c:pt>
                <c:pt idx="156">
                  <c:v>4.6821514851544608</c:v>
                </c:pt>
                <c:pt idx="157">
                  <c:v>4.6296558534340564</c:v>
                </c:pt>
                <c:pt idx="158">
                  <c:v>4.5879270227889357</c:v>
                </c:pt>
                <c:pt idx="159">
                  <c:v>4.5569649932190455</c:v>
                </c:pt>
                <c:pt idx="160">
                  <c:v>4.5367697647243794</c:v>
                </c:pt>
                <c:pt idx="161">
                  <c:v>4.5273413373050539</c:v>
                </c:pt>
                <c:pt idx="162">
                  <c:v>4.5286797109610237</c:v>
                </c:pt>
                <c:pt idx="163">
                  <c:v>4.5407848856921555</c:v>
                </c:pt>
                <c:pt idx="164">
                  <c:v>4.5636568614986297</c:v>
                </c:pt>
                <c:pt idx="165">
                  <c:v>4.5972956383802934</c:v>
                </c:pt>
                <c:pt idx="166">
                  <c:v>4.6417012163372648</c:v>
                </c:pt>
                <c:pt idx="167">
                  <c:v>4.6968735953695804</c:v>
                </c:pt>
                <c:pt idx="168">
                  <c:v>4.7628127754770411</c:v>
                </c:pt>
                <c:pt idx="169">
                  <c:v>4.8395187566598885</c:v>
                </c:pt>
                <c:pt idx="170">
                  <c:v>4.9269915389180294</c:v>
                </c:pt>
                <c:pt idx="171">
                  <c:v>5.0252311222512915</c:v>
                </c:pt>
                <c:pt idx="172">
                  <c:v>5.1342375066598462</c:v>
                </c:pt>
                <c:pt idx="173">
                  <c:v>5.2540106921437566</c:v>
                </c:pt>
                <c:pt idx="174">
                  <c:v>5.3845506787029942</c:v>
                </c:pt>
                <c:pt idx="175">
                  <c:v>5.5258574663373166</c:v>
                </c:pt>
                <c:pt idx="176">
                  <c:v>5.677931055046896</c:v>
                </c:pt>
                <c:pt idx="177">
                  <c:v>5.8407714448319963</c:v>
                </c:pt>
                <c:pt idx="178">
                  <c:v>6.0127934192403227</c:v>
                </c:pt>
                <c:pt idx="179">
                  <c:v>6.1844271398686486</c:v>
                </c:pt>
                <c:pt idx="180">
                  <c:v>6.3487914062500046</c:v>
                </c:pt>
                <c:pt idx="181">
                  <c:v>6.5073843750000329</c:v>
                </c:pt>
                <c:pt idx="182">
                  <c:v>6.6606007812500021</c:v>
                </c:pt>
                <c:pt idx="183">
                  <c:v>6.8084406249999967</c:v>
                </c:pt>
                <c:pt idx="184">
                  <c:v>6.9509039062500628</c:v>
                </c:pt>
                <c:pt idx="185">
                  <c:v>7.0879906249999536</c:v>
                </c:pt>
                <c:pt idx="186">
                  <c:v>7.2197007812499452</c:v>
                </c:pt>
                <c:pt idx="187">
                  <c:v>7.3460343749999772</c:v>
                </c:pt>
                <c:pt idx="188">
                  <c:v>7.4669914062500347</c:v>
                </c:pt>
                <c:pt idx="189">
                  <c:v>7.5825718750000322</c:v>
                </c:pt>
                <c:pt idx="190">
                  <c:v>7.6927757812499582</c:v>
                </c:pt>
                <c:pt idx="191">
                  <c:v>7.7976031249999735</c:v>
                </c:pt>
                <c:pt idx="192">
                  <c:v>7.8970539062499094</c:v>
                </c:pt>
                <c:pt idx="193">
                  <c:v>7.9911281250000057</c:v>
                </c:pt>
                <c:pt idx="194">
                  <c:v>8.0798257812500829</c:v>
                </c:pt>
                <c:pt idx="195">
                  <c:v>8.1631468750000238</c:v>
                </c:pt>
                <c:pt idx="196">
                  <c:v>8.2410914062500051</c:v>
                </c:pt>
                <c:pt idx="197">
                  <c:v>8.3136593749999559</c:v>
                </c:pt>
                <c:pt idx="198">
                  <c:v>8.380850781249956</c:v>
                </c:pt>
                <c:pt idx="199">
                  <c:v>8.4426656249999361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90-4BED-9BDF-53C216725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38808"/>
        <c:axId val="1"/>
      </c:scatterChart>
      <c:valAx>
        <c:axId val="49903880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8358222013293112"/>
              <c:y val="0.903409090909091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 Density      </a:t>
                </a:r>
              </a:p>
            </c:rich>
          </c:tx>
          <c:layout>
            <c:manualLayout>
              <c:xMode val="edge"/>
              <c:yMode val="edge"/>
              <c:x val="1.8905472636815922E-2"/>
              <c:y val="0.288352272727272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903880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1</xdr:row>
      <xdr:rowOff>9525</xdr:rowOff>
    </xdr:from>
    <xdr:to>
      <xdr:col>6</xdr:col>
      <xdr:colOff>0</xdr:colOff>
      <xdr:row>30</xdr:row>
      <xdr:rowOff>142875</xdr:rowOff>
    </xdr:to>
    <xdr:graphicFrame macro="">
      <xdr:nvGraphicFramePr>
        <xdr:cNvPr id="1026" name="Chart 1">
          <a:extLst>
            <a:ext uri="{FF2B5EF4-FFF2-40B4-BE49-F238E27FC236}">
              <a16:creationId xmlns:a16="http://schemas.microsoft.com/office/drawing/2014/main" id="{5C8E0CF0-009A-4B55-9101-D4A0CCA86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220980</xdr:colOff>
      <xdr:row>1</xdr:row>
      <xdr:rowOff>38100</xdr:rowOff>
    </xdr:from>
    <xdr:to>
      <xdr:col>6</xdr:col>
      <xdr:colOff>2735580</xdr:colOff>
      <xdr:row>20</xdr:row>
      <xdr:rowOff>45720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00A353-9991-4186-8209-039E0C76FE34}"/>
            </a:ext>
          </a:extLst>
        </xdr:cNvPr>
        <xdr:cNvSpPr txBox="1"/>
      </xdr:nvSpPr>
      <xdr:spPr>
        <a:xfrm>
          <a:off x="8260080" y="205740"/>
          <a:ext cx="2590800" cy="319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you can create a cdf</a:t>
          </a:r>
          <a:r>
            <a:rPr lang="en-US" sz="1100" baseline="0"/>
            <a:t> with up to 100 points.  You must have at least 3.</a:t>
          </a:r>
        </a:p>
        <a:p>
          <a:endParaRPr lang="en-US" sz="1100" baseline="0"/>
        </a:p>
        <a:p>
          <a:r>
            <a:rPr lang="en-US" sz="1100" baseline="0"/>
            <a:t>You may want to look at the pdf to see if your probabilities make sense.</a:t>
          </a:r>
        </a:p>
        <a:p>
          <a:endParaRPr lang="en-US" sz="1100" baseline="0"/>
        </a:p>
        <a:p>
          <a:r>
            <a:rPr lang="en-US" sz="1100" baseline="0"/>
            <a:t>The InverseCDF tab below will allow you to determine the value of the random variable that corresonds to any particular (cumulative) probability.  If there are k values in the pdf, then enter the probability as the k+1st value in column A, and the random variable's value is computed for you in column B.</a:t>
          </a:r>
          <a:endParaRPr lang="en-US" sz="1100"/>
        </a:p>
      </xdr:txBody>
    </xdr:sp>
    <xdr:clientData/>
  </xdr:twoCellAnchor>
  <xdr:twoCellAnchor>
    <xdr:from>
      <xdr:col>5</xdr:col>
      <xdr:colOff>257175</xdr:colOff>
      <xdr:row>31</xdr:row>
      <xdr:rowOff>76201</xdr:rowOff>
    </xdr:from>
    <xdr:to>
      <xdr:col>5</xdr:col>
      <xdr:colOff>5791200</xdr:colOff>
      <xdr:row>34</xdr:row>
      <xdr:rowOff>142876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8F83A9F-B081-DD4B-8575-26889856FA81}"/>
            </a:ext>
          </a:extLst>
        </xdr:cNvPr>
        <xdr:cNvSpPr txBox="1"/>
      </xdr:nvSpPr>
      <xdr:spPr>
        <a:xfrm>
          <a:off x="1695450" y="5095876"/>
          <a:ext cx="5534025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Customer: If the heater output X% less power than advertised, resulting in increased heating times, what is the probability that you would not buy it?</a:t>
          </a:r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0.1424</cdr:x>
      <cdr:y>0.93772</cdr:y>
    </cdr:from>
    <cdr:to>
      <cdr:x>0.95794</cdr:x>
      <cdr:y>0.98935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1522" y="4701802"/>
          <a:ext cx="5376184" cy="2486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(Note:  You can select the blue dots and drag them around to modify the spline)</a:t>
          </a:r>
        </a:p>
      </cdr:txBody>
    </cdr:sp>
  </cdr:relSizeAnchor>
  <cdr:relSizeAnchor xmlns:cdr="http://schemas.openxmlformats.org/drawingml/2006/chartDrawing">
    <cdr:from>
      <cdr:x>0.07218</cdr:x>
      <cdr:y>0.09486</cdr:y>
    </cdr:from>
    <cdr:to>
      <cdr:x>0.11119</cdr:x>
      <cdr:y>0.85324</cdr:y>
    </cdr:to>
    <cdr:grpSp>
      <cdr:nvGrpSpPr>
        <cdr:cNvPr id="15" name="Group 14">
          <a:extLst xmlns:a="http://schemas.openxmlformats.org/drawingml/2006/main">
            <a:ext uri="{FF2B5EF4-FFF2-40B4-BE49-F238E27FC236}">
              <a16:creationId xmlns:a16="http://schemas.microsoft.com/office/drawing/2014/main" id="{01757EE7-E92B-4F27-8F8E-2BE54ACCB55C}"/>
            </a:ext>
          </a:extLst>
        </cdr:cNvPr>
        <cdr:cNvGrpSpPr>
          <a:grpSpLocks xmlns:a="http://schemas.openxmlformats.org/drawingml/2006/main"/>
        </cdr:cNvGrpSpPr>
      </cdr:nvGrpSpPr>
      <cdr:grpSpPr bwMode="auto">
        <a:xfrm xmlns:a="http://schemas.openxmlformats.org/drawingml/2006/main">
          <a:off x="460635" y="458096"/>
          <a:ext cx="248952" cy="3662349"/>
          <a:chOff x="405180" y="543125"/>
          <a:chExt cx="246634" cy="3581596"/>
        </a:xfrm>
      </cdr:grpSpPr>
      <cdr:sp macro="" textlink="">
        <cdr:nvSpPr>
          <cdr:cNvPr id="3075" name="Text Box 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551" y="3924500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0.0</a:t>
            </a:r>
          </a:p>
        </cdr:txBody>
      </cdr:sp>
      <cdr:sp macro="" textlink="">
        <cdr:nvSpPr>
          <cdr:cNvPr id="3076" name="Text Box 4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095" y="35819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0.1</a:t>
            </a:r>
          </a:p>
        </cdr:txBody>
      </cdr:sp>
      <cdr:sp macro="" textlink="">
        <cdr:nvSpPr>
          <cdr:cNvPr id="3077" name="Text Box 5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638" y="32464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0.2</a:t>
            </a:r>
          </a:p>
        </cdr:txBody>
      </cdr:sp>
      <cdr:sp macro="" textlink="">
        <cdr:nvSpPr>
          <cdr:cNvPr id="3078" name="Text Box 6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180" y="2910868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0.3</a:t>
            </a:r>
          </a:p>
        </cdr:txBody>
      </cdr:sp>
      <cdr:sp macro="" textlink="">
        <cdr:nvSpPr>
          <cdr:cNvPr id="3079" name="Text Box 7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575263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0.4</a:t>
            </a:r>
          </a:p>
        </cdr:txBody>
      </cdr:sp>
      <cdr:sp macro="" textlink="">
        <cdr:nvSpPr>
          <cdr:cNvPr id="3080" name="Text Box 8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232124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0.5</a:t>
            </a:r>
          </a:p>
        </cdr:txBody>
      </cdr:sp>
      <cdr:sp macro="" textlink="">
        <cdr:nvSpPr>
          <cdr:cNvPr id="3081" name="Text Box 9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896597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0.6</a:t>
            </a:r>
          </a:p>
        </cdr:txBody>
      </cdr:sp>
      <cdr:sp macro="" textlink="">
        <cdr:nvSpPr>
          <cdr:cNvPr id="3082" name="Text Box 10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560992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0.7</a:t>
            </a:r>
          </a:p>
        </cdr:txBody>
      </cdr:sp>
      <cdr:sp macro="" textlink="">
        <cdr:nvSpPr>
          <cdr:cNvPr id="3083" name="Text Box 11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217931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0.8</a:t>
            </a:r>
          </a:p>
        </cdr:txBody>
      </cdr:sp>
      <cdr:sp macro="" textlink="">
        <cdr:nvSpPr>
          <cdr:cNvPr id="3084" name="Text Box 12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882326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0.9</a:t>
            </a:r>
          </a:p>
        </cdr:txBody>
      </cdr:sp>
      <cdr:sp macro="" textlink="">
        <cdr:nvSpPr>
          <cdr:cNvPr id="3085" name="Text Box 1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9242" y="543125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1.0</a:t>
            </a:r>
          </a:p>
        </cdr:txBody>
      </cdr:sp>
    </cdr:grp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342900</xdr:colOff>
      <xdr:row>32</xdr:row>
      <xdr:rowOff>0</xdr:rowOff>
    </xdr:to>
    <xdr:graphicFrame macro="">
      <xdr:nvGraphicFramePr>
        <xdr:cNvPr id="2050" name="Chart 1">
          <a:extLst>
            <a:ext uri="{FF2B5EF4-FFF2-40B4-BE49-F238E27FC236}">
              <a16:creationId xmlns:a16="http://schemas.microsoft.com/office/drawing/2014/main" id="{41990381-1553-433E-BC26-C1846F0C7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B6" sqref="B6"/>
    </sheetView>
  </sheetViews>
  <sheetFormatPr defaultRowHeight="12.75" x14ac:dyDescent="0.2"/>
  <cols>
    <col min="1" max="1" width="9.5703125" bestFit="1" customWidth="1"/>
    <col min="3" max="4" width="9.140625" hidden="1" customWidth="1"/>
    <col min="5" max="5" width="2.85546875" customWidth="1"/>
    <col min="6" max="6" width="95.7109375" customWidth="1"/>
    <col min="7" max="7" width="47.28515625" customWidth="1"/>
  </cols>
  <sheetData>
    <row r="1" spans="1:6" x14ac:dyDescent="0.2">
      <c r="A1" s="14" t="s">
        <v>0</v>
      </c>
      <c r="B1" s="14" t="s">
        <v>5</v>
      </c>
      <c r="F1" s="9" t="str">
        <f ca="1">IF(F2,"Valid CDF","NOT A VALID CDF -- See ErrorStatus for more information")</f>
        <v>Valid CDF</v>
      </c>
    </row>
    <row r="2" spans="1:6" x14ac:dyDescent="0.2">
      <c r="A2" s="15">
        <v>1.4999999999999999E-2</v>
      </c>
      <c r="B2" s="15">
        <v>0</v>
      </c>
      <c r="C2">
        <f ca="1">IF(INDIRECT("A"&amp;ROW(E2))="","",1)</f>
        <v>1</v>
      </c>
      <c r="D2">
        <f ca="1">IF(INDIRECT("B"&amp;ROW(E2))="","",1)</f>
        <v>1</v>
      </c>
      <c r="F2" t="b">
        <f ca="1">AND(ErrorStatus!B2:B6)</f>
        <v>1</v>
      </c>
    </row>
    <row r="3" spans="1:6" x14ac:dyDescent="0.2">
      <c r="A3" s="15">
        <f>$A$2+$A2</f>
        <v>0.03</v>
      </c>
      <c r="B3" s="15">
        <v>0.05</v>
      </c>
      <c r="C3">
        <f t="shared" ref="C3:C66" ca="1" si="0">IF(INDIRECT("A"&amp;ROW(E3))="","",1)</f>
        <v>1</v>
      </c>
      <c r="D3">
        <f t="shared" ref="D3:D66" ca="1" si="1">IF(INDIRECT("B"&amp;ROW(E3))="","",1)</f>
        <v>1</v>
      </c>
    </row>
    <row r="4" spans="1:6" x14ac:dyDescent="0.2">
      <c r="A4" s="15">
        <f t="shared" ref="A4:A11" si="2">$A$2+$A3</f>
        <v>4.4999999999999998E-2</v>
      </c>
      <c r="B4" s="15">
        <v>0.12</v>
      </c>
      <c r="C4">
        <f t="shared" ca="1" si="0"/>
        <v>1</v>
      </c>
      <c r="D4">
        <f t="shared" ca="1" si="1"/>
        <v>1</v>
      </c>
    </row>
    <row r="5" spans="1:6" x14ac:dyDescent="0.2">
      <c r="A5" s="15">
        <f t="shared" si="2"/>
        <v>0.06</v>
      </c>
      <c r="B5" s="15">
        <v>0.15</v>
      </c>
      <c r="C5">
        <f t="shared" ca="1" si="0"/>
        <v>1</v>
      </c>
      <c r="D5">
        <f t="shared" ca="1" si="1"/>
        <v>1</v>
      </c>
    </row>
    <row r="6" spans="1:6" x14ac:dyDescent="0.2">
      <c r="A6" s="17">
        <f t="shared" si="2"/>
        <v>7.4999999999999997E-2</v>
      </c>
      <c r="B6" s="17">
        <v>0.2</v>
      </c>
      <c r="C6">
        <f t="shared" ca="1" si="0"/>
        <v>1</v>
      </c>
      <c r="D6">
        <f t="shared" ca="1" si="1"/>
        <v>1</v>
      </c>
    </row>
    <row r="7" spans="1:6" x14ac:dyDescent="0.2">
      <c r="A7" s="18">
        <f t="shared" si="2"/>
        <v>0.09</v>
      </c>
      <c r="B7" s="18">
        <v>0.3</v>
      </c>
      <c r="C7">
        <f t="shared" ca="1" si="0"/>
        <v>1</v>
      </c>
      <c r="D7">
        <f t="shared" ca="1" si="1"/>
        <v>1</v>
      </c>
    </row>
    <row r="8" spans="1:6" x14ac:dyDescent="0.2">
      <c r="A8" s="15">
        <f t="shared" si="2"/>
        <v>0.105</v>
      </c>
      <c r="B8" s="15">
        <v>0.5</v>
      </c>
      <c r="C8">
        <f t="shared" ca="1" si="0"/>
        <v>1</v>
      </c>
      <c r="D8">
        <f t="shared" ca="1" si="1"/>
        <v>1</v>
      </c>
    </row>
    <row r="9" spans="1:6" x14ac:dyDescent="0.2">
      <c r="A9" s="15">
        <f t="shared" si="2"/>
        <v>0.12</v>
      </c>
      <c r="B9" s="15">
        <v>0.55000000000000004</v>
      </c>
      <c r="C9">
        <f t="shared" ca="1" si="0"/>
        <v>1</v>
      </c>
      <c r="D9">
        <f t="shared" ca="1" si="1"/>
        <v>1</v>
      </c>
    </row>
    <row r="10" spans="1:6" x14ac:dyDescent="0.2">
      <c r="A10" s="15">
        <f t="shared" si="2"/>
        <v>0.13500000000000001</v>
      </c>
      <c r="B10" s="15">
        <v>0.6</v>
      </c>
      <c r="C10">
        <f t="shared" ca="1" si="0"/>
        <v>1</v>
      </c>
      <c r="D10">
        <f t="shared" ca="1" si="1"/>
        <v>1</v>
      </c>
    </row>
    <row r="11" spans="1:6" x14ac:dyDescent="0.2">
      <c r="A11" s="15">
        <f t="shared" si="2"/>
        <v>0.15000000000000002</v>
      </c>
      <c r="B11" s="15">
        <v>0.7</v>
      </c>
      <c r="C11">
        <f t="shared" ca="1" si="0"/>
        <v>1</v>
      </c>
      <c r="D11">
        <f t="shared" ca="1" si="1"/>
        <v>1</v>
      </c>
    </row>
    <row r="12" spans="1:6" x14ac:dyDescent="0.2">
      <c r="A12" s="16">
        <v>0.18</v>
      </c>
      <c r="B12" s="15">
        <v>0.85</v>
      </c>
      <c r="C12">
        <f t="shared" ca="1" si="0"/>
        <v>1</v>
      </c>
      <c r="D12">
        <f t="shared" ca="1" si="1"/>
        <v>1</v>
      </c>
    </row>
    <row r="13" spans="1:6" x14ac:dyDescent="0.2">
      <c r="A13" s="16">
        <v>0.2</v>
      </c>
      <c r="B13" s="15">
        <v>1</v>
      </c>
      <c r="C13">
        <f t="shared" ca="1" si="0"/>
        <v>1</v>
      </c>
      <c r="D13">
        <f t="shared" ca="1" si="1"/>
        <v>1</v>
      </c>
    </row>
    <row r="14" spans="1:6" x14ac:dyDescent="0.2">
      <c r="A14" s="16"/>
      <c r="B14" s="15"/>
      <c r="C14" t="str">
        <f t="shared" ca="1" si="0"/>
        <v/>
      </c>
      <c r="D14" t="str">
        <f t="shared" ca="1" si="1"/>
        <v/>
      </c>
    </row>
    <row r="15" spans="1:6" x14ac:dyDescent="0.2">
      <c r="A15" s="16"/>
      <c r="B15" s="15"/>
      <c r="C15" t="str">
        <f t="shared" ca="1" si="0"/>
        <v/>
      </c>
      <c r="D15" t="str">
        <f t="shared" ca="1" si="1"/>
        <v/>
      </c>
    </row>
    <row r="16" spans="1:6" x14ac:dyDescent="0.2">
      <c r="A16" s="11"/>
      <c r="B16" s="10"/>
      <c r="C16" t="str">
        <f t="shared" ca="1" si="0"/>
        <v/>
      </c>
      <c r="D16" t="str">
        <f t="shared" ca="1" si="1"/>
        <v/>
      </c>
    </row>
    <row r="17" spans="1:4" x14ac:dyDescent="0.2">
      <c r="A17" s="11"/>
      <c r="B17" s="10"/>
      <c r="C17" t="str">
        <f t="shared" ca="1" si="0"/>
        <v/>
      </c>
      <c r="D17" t="str">
        <f t="shared" ca="1" si="1"/>
        <v/>
      </c>
    </row>
    <row r="18" spans="1:4" x14ac:dyDescent="0.2">
      <c r="A18" s="11"/>
      <c r="B18" s="10"/>
      <c r="C18" t="str">
        <f t="shared" ca="1" si="0"/>
        <v/>
      </c>
      <c r="D18" t="str">
        <f t="shared" ca="1" si="1"/>
        <v/>
      </c>
    </row>
    <row r="19" spans="1:4" x14ac:dyDescent="0.2">
      <c r="A19" s="11"/>
      <c r="B19" s="10"/>
      <c r="C19" t="str">
        <f t="shared" ca="1" si="0"/>
        <v/>
      </c>
      <c r="D19" t="str">
        <f t="shared" ca="1" si="1"/>
        <v/>
      </c>
    </row>
    <row r="20" spans="1:4" x14ac:dyDescent="0.2">
      <c r="A20" s="11"/>
      <c r="B20" s="10"/>
      <c r="C20" t="str">
        <f t="shared" ca="1" si="0"/>
        <v/>
      </c>
      <c r="D20" t="str">
        <f t="shared" ca="1" si="1"/>
        <v/>
      </c>
    </row>
    <row r="21" spans="1:4" x14ac:dyDescent="0.2">
      <c r="A21" s="11"/>
      <c r="B21" s="10"/>
      <c r="C21" t="str">
        <f t="shared" ca="1" si="0"/>
        <v/>
      </c>
      <c r="D21" t="str">
        <f t="shared" ca="1" si="1"/>
        <v/>
      </c>
    </row>
    <row r="22" spans="1:4" x14ac:dyDescent="0.2">
      <c r="A22" s="11"/>
      <c r="B22" s="10"/>
      <c r="C22" t="str">
        <f t="shared" ca="1" si="0"/>
        <v/>
      </c>
      <c r="D22" t="str">
        <f t="shared" ca="1" si="1"/>
        <v/>
      </c>
    </row>
    <row r="23" spans="1:4" x14ac:dyDescent="0.2">
      <c r="A23" s="11"/>
      <c r="B23" s="10"/>
      <c r="C23" t="str">
        <f t="shared" ca="1" si="0"/>
        <v/>
      </c>
      <c r="D23" t="str">
        <f t="shared" ca="1" si="1"/>
        <v/>
      </c>
    </row>
    <row r="24" spans="1:4" x14ac:dyDescent="0.2">
      <c r="A24" s="11"/>
      <c r="B24" s="10"/>
      <c r="C24" t="str">
        <f t="shared" ca="1" si="0"/>
        <v/>
      </c>
      <c r="D24" t="str">
        <f t="shared" ca="1" si="1"/>
        <v/>
      </c>
    </row>
    <row r="25" spans="1:4" x14ac:dyDescent="0.2">
      <c r="A25" s="11"/>
      <c r="B25" s="10"/>
      <c r="C25" t="str">
        <f t="shared" ca="1" si="0"/>
        <v/>
      </c>
      <c r="D25" t="str">
        <f t="shared" ca="1" si="1"/>
        <v/>
      </c>
    </row>
    <row r="26" spans="1:4" x14ac:dyDescent="0.2">
      <c r="A26" s="11"/>
      <c r="B26" s="10"/>
      <c r="C26" t="str">
        <f t="shared" ca="1" si="0"/>
        <v/>
      </c>
      <c r="D26" t="str">
        <f t="shared" ca="1" si="1"/>
        <v/>
      </c>
    </row>
    <row r="27" spans="1:4" x14ac:dyDescent="0.2">
      <c r="A27" s="11"/>
      <c r="B27" s="10"/>
      <c r="C27" t="str">
        <f t="shared" ca="1" si="0"/>
        <v/>
      </c>
      <c r="D27" t="str">
        <f t="shared" ca="1" si="1"/>
        <v/>
      </c>
    </row>
    <row r="28" spans="1:4" x14ac:dyDescent="0.2">
      <c r="A28" s="11"/>
      <c r="B28" s="10"/>
      <c r="C28" t="str">
        <f t="shared" ca="1" si="0"/>
        <v/>
      </c>
      <c r="D28" t="str">
        <f t="shared" ca="1" si="1"/>
        <v/>
      </c>
    </row>
    <row r="29" spans="1:4" x14ac:dyDescent="0.2">
      <c r="A29" s="11"/>
      <c r="B29" s="10"/>
      <c r="C29" t="str">
        <f t="shared" ca="1" si="0"/>
        <v/>
      </c>
      <c r="D29" t="str">
        <f t="shared" ca="1" si="1"/>
        <v/>
      </c>
    </row>
    <row r="30" spans="1:4" x14ac:dyDescent="0.2">
      <c r="A30" s="11"/>
      <c r="B30" s="10"/>
      <c r="C30" t="str">
        <f t="shared" ca="1" si="0"/>
        <v/>
      </c>
      <c r="D30" t="str">
        <f t="shared" ca="1" si="1"/>
        <v/>
      </c>
    </row>
    <row r="31" spans="1:4" x14ac:dyDescent="0.2">
      <c r="A31" s="11"/>
      <c r="B31" s="10"/>
      <c r="C31" t="str">
        <f t="shared" ca="1" si="0"/>
        <v/>
      </c>
      <c r="D31" t="str">
        <f t="shared" ca="1" si="1"/>
        <v/>
      </c>
    </row>
    <row r="32" spans="1:4" x14ac:dyDescent="0.2">
      <c r="A32" s="11"/>
      <c r="B32" s="10"/>
      <c r="C32" t="str">
        <f t="shared" ca="1" si="0"/>
        <v/>
      </c>
      <c r="D32" t="str">
        <f t="shared" ca="1" si="1"/>
        <v/>
      </c>
    </row>
    <row r="33" spans="1:4" x14ac:dyDescent="0.2">
      <c r="A33" s="11"/>
      <c r="B33" s="10"/>
      <c r="C33" t="str">
        <f t="shared" ca="1" si="0"/>
        <v/>
      </c>
      <c r="D33" t="str">
        <f t="shared" ca="1" si="1"/>
        <v/>
      </c>
    </row>
    <row r="34" spans="1:4" x14ac:dyDescent="0.2">
      <c r="A34" s="11"/>
      <c r="B34" s="10"/>
      <c r="C34" t="str">
        <f t="shared" ca="1" si="0"/>
        <v/>
      </c>
      <c r="D34" t="str">
        <f t="shared" ca="1" si="1"/>
        <v/>
      </c>
    </row>
    <row r="35" spans="1:4" x14ac:dyDescent="0.2">
      <c r="A35" s="11"/>
      <c r="B35" s="10"/>
      <c r="C35" t="str">
        <f t="shared" ca="1" si="0"/>
        <v/>
      </c>
      <c r="D35" t="str">
        <f t="shared" ca="1" si="1"/>
        <v/>
      </c>
    </row>
    <row r="36" spans="1:4" x14ac:dyDescent="0.2">
      <c r="A36" s="11"/>
      <c r="B36" s="10"/>
      <c r="C36" t="str">
        <f t="shared" ca="1" si="0"/>
        <v/>
      </c>
      <c r="D36" t="str">
        <f t="shared" ca="1" si="1"/>
        <v/>
      </c>
    </row>
    <row r="37" spans="1:4" x14ac:dyDescent="0.2">
      <c r="A37" s="11"/>
      <c r="B37" s="10"/>
      <c r="C37" t="str">
        <f t="shared" ca="1" si="0"/>
        <v/>
      </c>
      <c r="D37" t="str">
        <f t="shared" ca="1" si="1"/>
        <v/>
      </c>
    </row>
    <row r="38" spans="1:4" x14ac:dyDescent="0.2">
      <c r="A38" s="11"/>
      <c r="B38" s="10"/>
      <c r="C38" t="str">
        <f t="shared" ca="1" si="0"/>
        <v/>
      </c>
      <c r="D38" t="str">
        <f t="shared" ca="1" si="1"/>
        <v/>
      </c>
    </row>
    <row r="39" spans="1:4" x14ac:dyDescent="0.2">
      <c r="A39" s="11"/>
      <c r="B39" s="10"/>
      <c r="C39" t="str">
        <f t="shared" ca="1" si="0"/>
        <v/>
      </c>
      <c r="D39" t="str">
        <f t="shared" ca="1" si="1"/>
        <v/>
      </c>
    </row>
    <row r="40" spans="1:4" x14ac:dyDescent="0.2">
      <c r="A40" s="11"/>
      <c r="B40" s="10"/>
      <c r="C40" t="str">
        <f t="shared" ca="1" si="0"/>
        <v/>
      </c>
      <c r="D40" t="str">
        <f t="shared" ca="1" si="1"/>
        <v/>
      </c>
    </row>
    <row r="41" spans="1:4" x14ac:dyDescent="0.2">
      <c r="A41" s="11"/>
      <c r="B41" s="10"/>
      <c r="C41" t="str">
        <f t="shared" ca="1" si="0"/>
        <v/>
      </c>
      <c r="D41" t="str">
        <f t="shared" ca="1" si="1"/>
        <v/>
      </c>
    </row>
    <row r="42" spans="1:4" x14ac:dyDescent="0.2">
      <c r="A42" s="11"/>
      <c r="B42" s="10"/>
      <c r="C42" t="str">
        <f t="shared" ca="1" si="0"/>
        <v/>
      </c>
      <c r="D42" t="str">
        <f t="shared" ca="1" si="1"/>
        <v/>
      </c>
    </row>
    <row r="43" spans="1:4" x14ac:dyDescent="0.2">
      <c r="A43" s="11"/>
      <c r="B43" s="10"/>
      <c r="C43" t="str">
        <f t="shared" ca="1" si="0"/>
        <v/>
      </c>
      <c r="D43" t="str">
        <f t="shared" ca="1" si="1"/>
        <v/>
      </c>
    </row>
    <row r="44" spans="1:4" x14ac:dyDescent="0.2">
      <c r="A44" s="11"/>
      <c r="B44" s="10"/>
      <c r="C44" t="str">
        <f t="shared" ca="1" si="0"/>
        <v/>
      </c>
      <c r="D44" t="str">
        <f t="shared" ca="1" si="1"/>
        <v/>
      </c>
    </row>
    <row r="45" spans="1:4" x14ac:dyDescent="0.2">
      <c r="A45" s="11"/>
      <c r="B45" s="10"/>
      <c r="C45" t="str">
        <f t="shared" ca="1" si="0"/>
        <v/>
      </c>
      <c r="D45" t="str">
        <f t="shared" ca="1" si="1"/>
        <v/>
      </c>
    </row>
    <row r="46" spans="1:4" x14ac:dyDescent="0.2">
      <c r="A46" s="11"/>
      <c r="B46" s="10"/>
      <c r="C46" t="str">
        <f t="shared" ca="1" si="0"/>
        <v/>
      </c>
      <c r="D46" t="str">
        <f t="shared" ca="1" si="1"/>
        <v/>
      </c>
    </row>
    <row r="47" spans="1:4" x14ac:dyDescent="0.2">
      <c r="A47" s="11"/>
      <c r="B47" s="10"/>
      <c r="C47" t="str">
        <f t="shared" ca="1" si="0"/>
        <v/>
      </c>
      <c r="D47" t="str">
        <f t="shared" ca="1" si="1"/>
        <v/>
      </c>
    </row>
    <row r="48" spans="1:4" x14ac:dyDescent="0.2">
      <c r="A48" s="11"/>
      <c r="B48" s="10"/>
      <c r="C48" t="str">
        <f t="shared" ca="1" si="0"/>
        <v/>
      </c>
      <c r="D48" t="str">
        <f t="shared" ca="1" si="1"/>
        <v/>
      </c>
    </row>
    <row r="49" spans="1:4" x14ac:dyDescent="0.2">
      <c r="A49" s="11"/>
      <c r="B49" s="10"/>
      <c r="C49" t="str">
        <f t="shared" ca="1" si="0"/>
        <v/>
      </c>
      <c r="D49" t="str">
        <f t="shared" ca="1" si="1"/>
        <v/>
      </c>
    </row>
    <row r="50" spans="1:4" x14ac:dyDescent="0.2">
      <c r="A50" s="11"/>
      <c r="B50" s="10"/>
      <c r="C50" t="str">
        <f t="shared" ca="1" si="0"/>
        <v/>
      </c>
      <c r="D50" t="str">
        <f t="shared" ca="1" si="1"/>
        <v/>
      </c>
    </row>
    <row r="51" spans="1:4" x14ac:dyDescent="0.2">
      <c r="A51" s="11"/>
      <c r="B51" s="10"/>
      <c r="C51" t="str">
        <f t="shared" ca="1" si="0"/>
        <v/>
      </c>
      <c r="D51" t="str">
        <f t="shared" ca="1" si="1"/>
        <v/>
      </c>
    </row>
    <row r="52" spans="1:4" x14ac:dyDescent="0.2">
      <c r="A52" s="11"/>
      <c r="B52" s="10"/>
      <c r="C52" t="str">
        <f t="shared" ca="1" si="0"/>
        <v/>
      </c>
      <c r="D52" t="str">
        <f t="shared" ca="1" si="1"/>
        <v/>
      </c>
    </row>
    <row r="53" spans="1:4" x14ac:dyDescent="0.2">
      <c r="A53" s="11"/>
      <c r="B53" s="10"/>
      <c r="C53" t="str">
        <f t="shared" ca="1" si="0"/>
        <v/>
      </c>
      <c r="D53" t="str">
        <f t="shared" ca="1" si="1"/>
        <v/>
      </c>
    </row>
    <row r="54" spans="1:4" x14ac:dyDescent="0.2">
      <c r="A54" s="11"/>
      <c r="B54" s="10"/>
      <c r="C54" t="str">
        <f t="shared" ca="1" si="0"/>
        <v/>
      </c>
      <c r="D54" t="str">
        <f t="shared" ca="1" si="1"/>
        <v/>
      </c>
    </row>
    <row r="55" spans="1:4" x14ac:dyDescent="0.2">
      <c r="A55" s="11"/>
      <c r="B55" s="10"/>
      <c r="C55" t="str">
        <f t="shared" ca="1" si="0"/>
        <v/>
      </c>
      <c r="D55" t="str">
        <f t="shared" ca="1" si="1"/>
        <v/>
      </c>
    </row>
    <row r="56" spans="1:4" x14ac:dyDescent="0.2">
      <c r="A56" s="11"/>
      <c r="B56" s="10"/>
      <c r="C56" t="str">
        <f t="shared" ca="1" si="0"/>
        <v/>
      </c>
      <c r="D56" t="str">
        <f t="shared" ca="1" si="1"/>
        <v/>
      </c>
    </row>
    <row r="57" spans="1:4" x14ac:dyDescent="0.2">
      <c r="A57" s="11"/>
      <c r="B57" s="10"/>
      <c r="C57" t="str">
        <f t="shared" ca="1" si="0"/>
        <v/>
      </c>
      <c r="D57" t="str">
        <f t="shared" ca="1" si="1"/>
        <v/>
      </c>
    </row>
    <row r="58" spans="1:4" x14ac:dyDescent="0.2">
      <c r="A58" s="11"/>
      <c r="B58" s="10"/>
      <c r="C58" t="str">
        <f t="shared" ca="1" si="0"/>
        <v/>
      </c>
      <c r="D58" t="str">
        <f t="shared" ca="1" si="1"/>
        <v/>
      </c>
    </row>
    <row r="59" spans="1:4" x14ac:dyDescent="0.2">
      <c r="A59" s="11"/>
      <c r="B59" s="10"/>
      <c r="C59" t="str">
        <f t="shared" ca="1" si="0"/>
        <v/>
      </c>
      <c r="D59" t="str">
        <f t="shared" ca="1" si="1"/>
        <v/>
      </c>
    </row>
    <row r="60" spans="1:4" x14ac:dyDescent="0.2">
      <c r="A60" s="11"/>
      <c r="B60" s="10"/>
      <c r="C60" t="str">
        <f t="shared" ca="1" si="0"/>
        <v/>
      </c>
      <c r="D60" t="str">
        <f t="shared" ca="1" si="1"/>
        <v/>
      </c>
    </row>
    <row r="61" spans="1:4" x14ac:dyDescent="0.2">
      <c r="A61" s="11"/>
      <c r="B61" s="10"/>
      <c r="C61" t="str">
        <f t="shared" ca="1" si="0"/>
        <v/>
      </c>
      <c r="D61" t="str">
        <f t="shared" ca="1" si="1"/>
        <v/>
      </c>
    </row>
    <row r="62" spans="1:4" x14ac:dyDescent="0.2">
      <c r="A62" s="11"/>
      <c r="B62" s="10"/>
      <c r="C62" t="str">
        <f t="shared" ca="1" si="0"/>
        <v/>
      </c>
      <c r="D62" t="str">
        <f t="shared" ca="1" si="1"/>
        <v/>
      </c>
    </row>
    <row r="63" spans="1:4" x14ac:dyDescent="0.2">
      <c r="A63" s="11"/>
      <c r="B63" s="10"/>
      <c r="C63" t="str">
        <f t="shared" ca="1" si="0"/>
        <v/>
      </c>
      <c r="D63" t="str">
        <f t="shared" ca="1" si="1"/>
        <v/>
      </c>
    </row>
    <row r="64" spans="1:4" x14ac:dyDescent="0.2">
      <c r="A64" s="11"/>
      <c r="B64" s="10"/>
      <c r="C64" t="str">
        <f t="shared" ca="1" si="0"/>
        <v/>
      </c>
      <c r="D64" t="str">
        <f t="shared" ca="1" si="1"/>
        <v/>
      </c>
    </row>
    <row r="65" spans="1:4" x14ac:dyDescent="0.2">
      <c r="A65" s="11"/>
      <c r="B65" s="10"/>
      <c r="C65" t="str">
        <f t="shared" ca="1" si="0"/>
        <v/>
      </c>
      <c r="D65" t="str">
        <f t="shared" ca="1" si="1"/>
        <v/>
      </c>
    </row>
    <row r="66" spans="1:4" x14ac:dyDescent="0.2">
      <c r="A66" s="11"/>
      <c r="B66" s="10"/>
      <c r="C66" t="str">
        <f t="shared" ca="1" si="0"/>
        <v/>
      </c>
      <c r="D66" t="str">
        <f t="shared" ca="1" si="1"/>
        <v/>
      </c>
    </row>
    <row r="67" spans="1:4" x14ac:dyDescent="0.2">
      <c r="A67" s="11"/>
      <c r="B67" s="10"/>
      <c r="C67" t="str">
        <f t="shared" ref="C67:C100" ca="1" si="3">IF(INDIRECT("A"&amp;ROW(E67))="","",1)</f>
        <v/>
      </c>
      <c r="D67" t="str">
        <f t="shared" ref="D67:D100" ca="1" si="4">IF(INDIRECT("B"&amp;ROW(E67))="","",1)</f>
        <v/>
      </c>
    </row>
    <row r="68" spans="1:4" x14ac:dyDescent="0.2">
      <c r="A68" s="11"/>
      <c r="B68" s="10"/>
      <c r="C68" t="str">
        <f t="shared" ca="1" si="3"/>
        <v/>
      </c>
      <c r="D68" t="str">
        <f t="shared" ca="1" si="4"/>
        <v/>
      </c>
    </row>
    <row r="69" spans="1:4" x14ac:dyDescent="0.2">
      <c r="A69" s="11"/>
      <c r="B69" s="10"/>
      <c r="C69" t="str">
        <f t="shared" ca="1" si="3"/>
        <v/>
      </c>
      <c r="D69" t="str">
        <f t="shared" ca="1" si="4"/>
        <v/>
      </c>
    </row>
    <row r="70" spans="1:4" x14ac:dyDescent="0.2">
      <c r="A70" s="11"/>
      <c r="B70" s="10"/>
      <c r="C70" t="str">
        <f t="shared" ca="1" si="3"/>
        <v/>
      </c>
      <c r="D70" t="str">
        <f t="shared" ca="1" si="4"/>
        <v/>
      </c>
    </row>
    <row r="71" spans="1:4" x14ac:dyDescent="0.2">
      <c r="A71" s="11"/>
      <c r="B71" s="10"/>
      <c r="C71" t="str">
        <f t="shared" ca="1" si="3"/>
        <v/>
      </c>
      <c r="D71" t="str">
        <f t="shared" ca="1" si="4"/>
        <v/>
      </c>
    </row>
    <row r="72" spans="1:4" x14ac:dyDescent="0.2">
      <c r="A72" s="11"/>
      <c r="B72" s="10"/>
      <c r="C72" t="str">
        <f t="shared" ca="1" si="3"/>
        <v/>
      </c>
      <c r="D72" t="str">
        <f t="shared" ca="1" si="4"/>
        <v/>
      </c>
    </row>
    <row r="73" spans="1:4" x14ac:dyDescent="0.2">
      <c r="A73" s="11"/>
      <c r="B73" s="10"/>
      <c r="C73" t="str">
        <f t="shared" ca="1" si="3"/>
        <v/>
      </c>
      <c r="D73" t="str">
        <f t="shared" ca="1" si="4"/>
        <v/>
      </c>
    </row>
    <row r="74" spans="1:4" x14ac:dyDescent="0.2">
      <c r="A74" s="11"/>
      <c r="B74" s="10"/>
      <c r="C74" t="str">
        <f t="shared" ca="1" si="3"/>
        <v/>
      </c>
      <c r="D74" t="str">
        <f t="shared" ca="1" si="4"/>
        <v/>
      </c>
    </row>
    <row r="75" spans="1:4" x14ac:dyDescent="0.2">
      <c r="A75" s="11"/>
      <c r="B75" s="10"/>
      <c r="C75" t="str">
        <f t="shared" ca="1" si="3"/>
        <v/>
      </c>
      <c r="D75" t="str">
        <f t="shared" ca="1" si="4"/>
        <v/>
      </c>
    </row>
    <row r="76" spans="1:4" x14ac:dyDescent="0.2">
      <c r="A76" s="11"/>
      <c r="B76" s="10"/>
      <c r="C76" t="str">
        <f t="shared" ca="1" si="3"/>
        <v/>
      </c>
      <c r="D76" t="str">
        <f t="shared" ca="1" si="4"/>
        <v/>
      </c>
    </row>
    <row r="77" spans="1:4" x14ac:dyDescent="0.2">
      <c r="A77" s="11"/>
      <c r="B77" s="10"/>
      <c r="C77" t="str">
        <f t="shared" ca="1" si="3"/>
        <v/>
      </c>
      <c r="D77" t="str">
        <f t="shared" ca="1" si="4"/>
        <v/>
      </c>
    </row>
    <row r="78" spans="1:4" x14ac:dyDescent="0.2">
      <c r="A78" s="11"/>
      <c r="B78" s="10"/>
      <c r="C78" t="str">
        <f t="shared" ca="1" si="3"/>
        <v/>
      </c>
      <c r="D78" t="str">
        <f t="shared" ca="1" si="4"/>
        <v/>
      </c>
    </row>
    <row r="79" spans="1:4" x14ac:dyDescent="0.2">
      <c r="A79" s="11"/>
      <c r="B79" s="10"/>
      <c r="C79" t="str">
        <f t="shared" ca="1" si="3"/>
        <v/>
      </c>
      <c r="D79" t="str">
        <f t="shared" ca="1" si="4"/>
        <v/>
      </c>
    </row>
    <row r="80" spans="1:4" x14ac:dyDescent="0.2">
      <c r="A80" s="11"/>
      <c r="B80" s="10"/>
      <c r="C80" t="str">
        <f t="shared" ca="1" si="3"/>
        <v/>
      </c>
      <c r="D80" t="str">
        <f t="shared" ca="1" si="4"/>
        <v/>
      </c>
    </row>
    <row r="81" spans="1:4" x14ac:dyDescent="0.2">
      <c r="A81" s="11"/>
      <c r="B81" s="10"/>
      <c r="C81" t="str">
        <f t="shared" ca="1" si="3"/>
        <v/>
      </c>
      <c r="D81" t="str">
        <f t="shared" ca="1" si="4"/>
        <v/>
      </c>
    </row>
    <row r="82" spans="1:4" x14ac:dyDescent="0.2">
      <c r="A82" s="11"/>
      <c r="B82" s="10"/>
      <c r="C82" t="str">
        <f t="shared" ca="1" si="3"/>
        <v/>
      </c>
      <c r="D82" t="str">
        <f t="shared" ca="1" si="4"/>
        <v/>
      </c>
    </row>
    <row r="83" spans="1:4" x14ac:dyDescent="0.2">
      <c r="A83" s="11"/>
      <c r="B83" s="10"/>
      <c r="C83" t="str">
        <f t="shared" ca="1" si="3"/>
        <v/>
      </c>
      <c r="D83" t="str">
        <f t="shared" ca="1" si="4"/>
        <v/>
      </c>
    </row>
    <row r="84" spans="1:4" x14ac:dyDescent="0.2">
      <c r="A84" s="11"/>
      <c r="B84" s="10"/>
      <c r="C84" t="str">
        <f t="shared" ca="1" si="3"/>
        <v/>
      </c>
      <c r="D84" t="str">
        <f t="shared" ca="1" si="4"/>
        <v/>
      </c>
    </row>
    <row r="85" spans="1:4" x14ac:dyDescent="0.2">
      <c r="A85" s="11"/>
      <c r="B85" s="10"/>
      <c r="C85" t="str">
        <f t="shared" ca="1" si="3"/>
        <v/>
      </c>
      <c r="D85" t="str">
        <f t="shared" ca="1" si="4"/>
        <v/>
      </c>
    </row>
    <row r="86" spans="1:4" x14ac:dyDescent="0.2">
      <c r="A86" s="11"/>
      <c r="B86" s="10"/>
      <c r="C86" t="str">
        <f t="shared" ca="1" si="3"/>
        <v/>
      </c>
      <c r="D86" t="str">
        <f t="shared" ca="1" si="4"/>
        <v/>
      </c>
    </row>
    <row r="87" spans="1:4" x14ac:dyDescent="0.2">
      <c r="A87" s="11"/>
      <c r="B87" s="10"/>
      <c r="C87" t="str">
        <f t="shared" ca="1" si="3"/>
        <v/>
      </c>
      <c r="D87" t="str">
        <f t="shared" ca="1" si="4"/>
        <v/>
      </c>
    </row>
    <row r="88" spans="1:4" x14ac:dyDescent="0.2">
      <c r="A88" s="11"/>
      <c r="B88" s="10"/>
      <c r="C88" t="str">
        <f t="shared" ca="1" si="3"/>
        <v/>
      </c>
      <c r="D88" t="str">
        <f t="shared" ca="1" si="4"/>
        <v/>
      </c>
    </row>
    <row r="89" spans="1:4" x14ac:dyDescent="0.2">
      <c r="A89" s="11"/>
      <c r="B89" s="10"/>
      <c r="C89" t="str">
        <f t="shared" ca="1" si="3"/>
        <v/>
      </c>
      <c r="D89" t="str">
        <f t="shared" ca="1" si="4"/>
        <v/>
      </c>
    </row>
    <row r="90" spans="1:4" x14ac:dyDescent="0.2">
      <c r="A90" s="11"/>
      <c r="B90" s="10"/>
      <c r="C90" t="str">
        <f t="shared" ca="1" si="3"/>
        <v/>
      </c>
      <c r="D90" t="str">
        <f t="shared" ca="1" si="4"/>
        <v/>
      </c>
    </row>
    <row r="91" spans="1:4" x14ac:dyDescent="0.2">
      <c r="A91" s="11"/>
      <c r="B91" s="10"/>
      <c r="C91" t="str">
        <f t="shared" ca="1" si="3"/>
        <v/>
      </c>
      <c r="D91" t="str">
        <f t="shared" ca="1" si="4"/>
        <v/>
      </c>
    </row>
    <row r="92" spans="1:4" x14ac:dyDescent="0.2">
      <c r="A92" s="11"/>
      <c r="B92" s="10"/>
      <c r="C92" t="str">
        <f t="shared" ca="1" si="3"/>
        <v/>
      </c>
      <c r="D92" t="str">
        <f t="shared" ca="1" si="4"/>
        <v/>
      </c>
    </row>
    <row r="93" spans="1:4" x14ac:dyDescent="0.2">
      <c r="A93" s="11"/>
      <c r="B93" s="10"/>
      <c r="C93" t="str">
        <f t="shared" ca="1" si="3"/>
        <v/>
      </c>
      <c r="D93" t="str">
        <f t="shared" ca="1" si="4"/>
        <v/>
      </c>
    </row>
    <row r="94" spans="1:4" x14ac:dyDescent="0.2">
      <c r="A94" s="11"/>
      <c r="B94" s="10"/>
      <c r="C94" t="str">
        <f t="shared" ca="1" si="3"/>
        <v/>
      </c>
      <c r="D94" t="str">
        <f t="shared" ca="1" si="4"/>
        <v/>
      </c>
    </row>
    <row r="95" spans="1:4" x14ac:dyDescent="0.2">
      <c r="A95" s="11"/>
      <c r="B95" s="10"/>
      <c r="C95" t="str">
        <f t="shared" ca="1" si="3"/>
        <v/>
      </c>
      <c r="D95" t="str">
        <f t="shared" ca="1" si="4"/>
        <v/>
      </c>
    </row>
    <row r="96" spans="1:4" x14ac:dyDescent="0.2">
      <c r="A96" s="11"/>
      <c r="B96" s="10"/>
      <c r="C96" t="str">
        <f t="shared" ca="1" si="3"/>
        <v/>
      </c>
      <c r="D96" t="str">
        <f t="shared" ca="1" si="4"/>
        <v/>
      </c>
    </row>
    <row r="97" spans="1:4" x14ac:dyDescent="0.2">
      <c r="A97" s="11"/>
      <c r="B97" s="10"/>
      <c r="C97" t="str">
        <f t="shared" ca="1" si="3"/>
        <v/>
      </c>
      <c r="D97" t="str">
        <f t="shared" ca="1" si="4"/>
        <v/>
      </c>
    </row>
    <row r="98" spans="1:4" x14ac:dyDescent="0.2">
      <c r="A98" s="11"/>
      <c r="B98" s="10"/>
      <c r="C98" t="str">
        <f t="shared" ca="1" si="3"/>
        <v/>
      </c>
      <c r="D98" t="str">
        <f t="shared" ca="1" si="4"/>
        <v/>
      </c>
    </row>
    <row r="99" spans="1:4" x14ac:dyDescent="0.2">
      <c r="A99" s="11"/>
      <c r="B99" s="10"/>
      <c r="C99" t="str">
        <f t="shared" ca="1" si="3"/>
        <v/>
      </c>
      <c r="D99" t="str">
        <f t="shared" ca="1" si="4"/>
        <v/>
      </c>
    </row>
    <row r="100" spans="1:4" x14ac:dyDescent="0.2">
      <c r="A100" s="12"/>
      <c r="B100" s="13"/>
      <c r="C100" t="str">
        <f t="shared" ca="1" si="3"/>
        <v/>
      </c>
      <c r="D100" t="str">
        <f t="shared" ca="1" si="4"/>
        <v/>
      </c>
    </row>
  </sheetData>
  <phoneticPr fontId="3" type="noConversion"/>
  <conditionalFormatting sqref="F1">
    <cfRule type="expression" dxfId="2" priority="1" stopIfTrue="1">
      <formula>$F$2</formula>
    </cfRule>
  </conditionalFormatting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2.75" x14ac:dyDescent="0.2"/>
  <cols>
    <col min="1" max="1" width="22.85546875" customWidth="1"/>
    <col min="2" max="2" width="24" customWidth="1"/>
  </cols>
  <sheetData>
    <row r="1" spans="1:3" x14ac:dyDescent="0.2">
      <c r="A1" s="1" t="s">
        <v>2</v>
      </c>
      <c r="B1" s="5" t="str">
        <f ca="1">IF(AND(B2:B7),"OK","NOT A VALID CDF")</f>
        <v>OK</v>
      </c>
    </row>
    <row r="2" spans="1:3" x14ac:dyDescent="0.2">
      <c r="A2" s="2" t="s">
        <v>7</v>
      </c>
      <c r="B2" s="4" t="b">
        <f ca="1">AND(Computations!C2=0,INDIRECT("Computations!C"&amp;Computations!$W$1)=1)</f>
        <v>1</v>
      </c>
    </row>
    <row r="3" spans="1:3" x14ac:dyDescent="0.2">
      <c r="A3" s="2" t="s">
        <v>8</v>
      </c>
      <c r="B3" s="4" t="b">
        <f ca="1">IF(B6,AND(INDIRECT("Computations!E3:E"&amp;Computations!$W$1)),TRUE)</f>
        <v>1</v>
      </c>
    </row>
    <row r="4" spans="1:3" x14ac:dyDescent="0.2">
      <c r="A4" s="2" t="s">
        <v>4</v>
      </c>
      <c r="B4" s="4" t="b">
        <f ca="1">IF(B6,AND(INDIRECT("Computations!D3:D"&amp;Computations!$X$1)),TRUE)</f>
        <v>1</v>
      </c>
    </row>
    <row r="5" spans="1:3" x14ac:dyDescent="0.2">
      <c r="A5" s="2" t="s">
        <v>6</v>
      </c>
      <c r="B5" s="4" t="b">
        <f ca="1">Computations!$W$1=Computations!$X$1</f>
        <v>1</v>
      </c>
    </row>
    <row r="6" spans="1:3" x14ac:dyDescent="0.2">
      <c r="A6" s="2" t="s">
        <v>22</v>
      </c>
      <c r="B6" s="4" t="b">
        <f ca="1">AND(2&lt;Computations!$V$1,Computations!$W$1&lt;100)</f>
        <v>1</v>
      </c>
      <c r="C6" t="s">
        <v>62</v>
      </c>
    </row>
    <row r="7" spans="1:3" x14ac:dyDescent="0.2">
      <c r="A7" s="2"/>
      <c r="B7" s="4"/>
    </row>
  </sheetData>
  <sheetProtection sheet="1" objects="1" scenarios="1"/>
  <phoneticPr fontId="3" type="noConversion"/>
  <conditionalFormatting sqref="B2:B7">
    <cfRule type="cellIs" dxfId="1" priority="1" stopIfTrue="1" operator="equal">
      <formula>FALSE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sheetProtection sheet="1" objects="1" scenarios="1"/>
  <phoneticPr fontId="3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1"/>
  <sheetViews>
    <sheetView workbookViewId="0">
      <selection activeCell="A2" sqref="A2"/>
    </sheetView>
  </sheetViews>
  <sheetFormatPr defaultRowHeight="12.75" x14ac:dyDescent="0.2"/>
  <cols>
    <col min="1" max="2" width="10.7109375" customWidth="1"/>
    <col min="3" max="31" width="9.140625" hidden="1" customWidth="1"/>
    <col min="32" max="33" width="9.140625" customWidth="1"/>
  </cols>
  <sheetData>
    <row r="1" spans="1:33" x14ac:dyDescent="0.2">
      <c r="A1" s="8" t="s">
        <v>34</v>
      </c>
      <c r="B1" s="8" t="s">
        <v>35</v>
      </c>
      <c r="C1" t="s">
        <v>36</v>
      </c>
      <c r="D1" t="s">
        <v>26</v>
      </c>
      <c r="E1" t="s">
        <v>27</v>
      </c>
      <c r="F1" t="s">
        <v>38</v>
      </c>
      <c r="G1" t="s">
        <v>39</v>
      </c>
      <c r="H1" t="s">
        <v>40</v>
      </c>
      <c r="I1" t="s">
        <v>20</v>
      </c>
      <c r="J1" t="s">
        <v>59</v>
      </c>
      <c r="K1" t="s">
        <v>60</v>
      </c>
      <c r="L1" t="s">
        <v>61</v>
      </c>
      <c r="M1" t="s">
        <v>41</v>
      </c>
      <c r="N1" t="s">
        <v>42</v>
      </c>
      <c r="O1" t="s">
        <v>14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50</v>
      </c>
      <c r="AE1" t="s">
        <v>57</v>
      </c>
      <c r="AG1" t="s">
        <v>37</v>
      </c>
    </row>
    <row r="2" spans="1:33" x14ac:dyDescent="0.2">
      <c r="A2" s="6">
        <v>1</v>
      </c>
      <c r="B2" s="7">
        <f ca="1">IF(AND(A2&gt;=0,A2&lt;=1),D2+AE2*(E2-D2),"")</f>
        <v>0.2</v>
      </c>
      <c r="C2">
        <f ca="1">IF(A2&lt;1,LOOKUP(A2,Computations!$C$2:$C$100,Computations!$A$2:$A$100),n)</f>
        <v>12</v>
      </c>
      <c r="D2">
        <f ca="1">INDIRECT("Computations!B"&amp;C2)</f>
        <v>0.18</v>
      </c>
      <c r="E2">
        <f ca="1">INDIRECT("Computations!B"&amp;(C2+1))</f>
        <v>0.2</v>
      </c>
      <c r="F2">
        <f ca="1">INDIRECT("Computations!S"&amp;C2)</f>
        <v>-8.3783783783782928E-3</v>
      </c>
      <c r="G2">
        <f ca="1">INDIRECT("Computations!R"&amp;C2)</f>
        <v>3.6756756756756562E-2</v>
      </c>
      <c r="H2">
        <f ca="1">INDIRECT("Computations!Q"&amp;C2)</f>
        <v>0.12162162162162175</v>
      </c>
      <c r="I2">
        <f ca="1">INDIRECT("Computations!C"&amp;C2)-A2</f>
        <v>-0.15000000000000002</v>
      </c>
      <c r="J2">
        <f ca="1">-I2/H2</f>
        <v>1.2333333333333323</v>
      </c>
      <c r="K2">
        <f ca="1">(-H2+SQRT(H2*H2-4*G2*I2))/(2*G2)</f>
        <v>0.95671072191522788</v>
      </c>
      <c r="L2">
        <f ca="1">IF(AND(K2&gt;=0,K2&lt;=1),K2,(-H2-SQRT(H2*H2-4*G2*I2))/(2*G2))</f>
        <v>0.95671072191522788</v>
      </c>
      <c r="M2">
        <f ca="1">H2/F2-G2^2/F2^2/3</f>
        <v>-20.931668400971439</v>
      </c>
      <c r="N2">
        <f ca="1">(2*G2^3/F2^3-9*G2*H2/F2^2+27*I2/F2)/27</f>
        <v>-9.5792378259904503</v>
      </c>
      <c r="O2">
        <f ca="1">N2^2/4+M2^3/27</f>
        <v>-316.72218531637589</v>
      </c>
      <c r="P2">
        <f ca="1">SQRT(N2^2/4-O2)</f>
        <v>18.429938541625617</v>
      </c>
      <c r="Q2">
        <f ca="1">P2^(1/3)</f>
        <v>2.6414433176435592</v>
      </c>
      <c r="R2">
        <f ca="1">ACOS(-N2/2/P2)</f>
        <v>1.3078957837705547</v>
      </c>
      <c r="S2">
        <f ca="1">-Q2</f>
        <v>-2.6414433176435592</v>
      </c>
      <c r="T2">
        <f ca="1">COS(R2/3)</f>
        <v>0.90646284875017058</v>
      </c>
      <c r="U2">
        <f ca="1">SQRT(3)*SIN(R2/3)</f>
        <v>0.73142006501543022</v>
      </c>
      <c r="V2">
        <f ca="1">-G2/F2/3</f>
        <v>1.4623655913978568</v>
      </c>
      <c r="W2">
        <f ca="1">2*Q2*T2+V2</f>
        <v>6.251106060444422</v>
      </c>
      <c r="X2">
        <f ca="1">S2*(T2+U2)+V2</f>
        <v>-2.8640092862508508</v>
      </c>
      <c r="Y2">
        <f ca="1">S2*(T2-U2)+V2</f>
        <v>1.0000000000000002</v>
      </c>
      <c r="Z2" t="e">
        <f ca="1">-N2/2+SQRT(O2)</f>
        <v>#NUM!</v>
      </c>
      <c r="AA2" t="e">
        <f ca="1">Z2^(1/3)</f>
        <v>#NUM!</v>
      </c>
      <c r="AB2" t="e">
        <f ca="1">-N2/2-SQRT(O2)</f>
        <v>#NUM!</v>
      </c>
      <c r="AC2" t="e">
        <f ca="1">AB2^(1/3)</f>
        <v>#NUM!</v>
      </c>
      <c r="AD2" t="e">
        <f ca="1">AA2+AC2+V2</f>
        <v>#NUM!</v>
      </c>
      <c r="AE2">
        <f ca="1">IF(F2=0,IF(G2=0,J2,L2),IF(O2&gt;0,AD2,IF(AND(W2&gt;=0,W2&lt;=1),W2,IF(AND(X2&gt;=0,X2&lt;=1),X2,Y2))))</f>
        <v>1.0000000000000002</v>
      </c>
      <c r="AG2" t="s">
        <v>58</v>
      </c>
    </row>
    <row r="3" spans="1:33" x14ac:dyDescent="0.2">
      <c r="A3" s="6">
        <v>0.999</v>
      </c>
      <c r="B3" s="7">
        <f ca="1">IF(AND(A3&lt;&gt;"",A3&gt;=0,A3&lt;=1),D3+AE3*(E3-D3),"")</f>
        <v>0.1998823053923795</v>
      </c>
      <c r="C3">
        <f ca="1">IF(A3&lt;1,LOOKUP(A3,Computations!$C$2:$C$100,Computations!$A$2:$A$100),n)</f>
        <v>12</v>
      </c>
      <c r="D3">
        <f t="shared" ref="D3:D66" ca="1" si="0">INDIRECT("Computations!B"&amp;C3)</f>
        <v>0.18</v>
      </c>
      <c r="E3">
        <f t="shared" ref="E3:E66" ca="1" si="1">INDIRECT("Computations!B"&amp;(C3+1))</f>
        <v>0.2</v>
      </c>
      <c r="F3">
        <f ca="1">INDIRECT("Computations!S"&amp;C3)</f>
        <v>-8.3783783783782928E-3</v>
      </c>
      <c r="G3">
        <f ca="1">INDIRECT("Computations!R"&amp;C3)</f>
        <v>3.6756756756756562E-2</v>
      </c>
      <c r="H3">
        <f ca="1">INDIRECT("Computations!Q"&amp;C3)</f>
        <v>0.12162162162162175</v>
      </c>
      <c r="I3">
        <f ca="1">INDIRECT("Computations!C"&amp;C3)-A3</f>
        <v>-0.14900000000000002</v>
      </c>
      <c r="J3">
        <f t="shared" ref="J3:J66" ca="1" si="2">-I3/H3</f>
        <v>1.2251111111111099</v>
      </c>
      <c r="K3">
        <f t="shared" ref="K3:K66" ca="1" si="3">(-H3+SQRT(H3*H3-4*G3*I3))/(2*G3)</f>
        <v>0.95149590015591567</v>
      </c>
      <c r="L3">
        <f t="shared" ref="L3:L66" ca="1" si="4">IF(AND(K3&gt;=0,K3&lt;=1),K3,(-H3-SQRT(H3*H3-4*G3*I3))/(2*G3))</f>
        <v>0.95149590015591567</v>
      </c>
      <c r="M3">
        <f t="shared" ref="M3:M66" ca="1" si="5">H3/F3-G3^2/F3^2/3</f>
        <v>-20.931668400971439</v>
      </c>
      <c r="N3">
        <f t="shared" ref="N3:N66" ca="1" si="6">(2*G3^3/F3^3-9*G3*H3/F3^2+27*I3/F3)/27</f>
        <v>-9.698592664700131</v>
      </c>
      <c r="O3">
        <f t="shared" ref="O3:O66" ca="1" si="7">N3^2/4+M3^3/27</f>
        <v>-316.14695972915365</v>
      </c>
      <c r="P3">
        <f t="shared" ref="P3:P66" ca="1" si="8">SQRT(N3^2/4-O3)</f>
        <v>18.429938541625617</v>
      </c>
      <c r="Q3">
        <f t="shared" ref="Q3:Q66" ca="1" si="9">P3^(1/3)</f>
        <v>2.6414433176435592</v>
      </c>
      <c r="R3">
        <f t="shared" ref="R3:R66" ca="1" si="10">ACOS(-N3/2/P3)</f>
        <v>1.3045409754718889</v>
      </c>
      <c r="S3">
        <f t="shared" ref="S3:S66" ca="1" si="11">-Q3</f>
        <v>-2.6414433176435592</v>
      </c>
      <c r="T3">
        <f t="shared" ref="T3:T66" ca="1" si="12">COS(R3/3)</f>
        <v>0.90693451092036637</v>
      </c>
      <c r="U3">
        <f t="shared" ref="U3:U66" ca="1" si="13">SQRT(3)*SIN(R3/3)</f>
        <v>0.7296638806360829</v>
      </c>
      <c r="V3">
        <f t="shared" ref="V3:V66" ca="1" si="14">-G3/F3/3</f>
        <v>1.4623655913978568</v>
      </c>
      <c r="W3">
        <f t="shared" ref="W3:W66" ca="1" si="15">2*Q3*T3+V3</f>
        <v>6.2535977982197197</v>
      </c>
      <c r="X3">
        <f t="shared" ref="X3:X66" ca="1" si="16">S3*(T3+U3)+V3</f>
        <v>-2.8606162936451227</v>
      </c>
      <c r="Y3">
        <f t="shared" ref="Y3:Y66" ca="1" si="17">S3*(T3-U3)+V3</f>
        <v>0.99411526961897434</v>
      </c>
      <c r="Z3" t="e">
        <f t="shared" ref="Z3:Z66" ca="1" si="18">-N3/2+SQRT(O3)</f>
        <v>#NUM!</v>
      </c>
      <c r="AA3" t="e">
        <f t="shared" ref="AA3:AA66" ca="1" si="19">Z3^(1/3)</f>
        <v>#NUM!</v>
      </c>
      <c r="AB3" t="e">
        <f t="shared" ref="AB3:AB66" ca="1" si="20">-N3/2-SQRT(O3)</f>
        <v>#NUM!</v>
      </c>
      <c r="AC3" t="e">
        <f t="shared" ref="AC3:AC66" ca="1" si="21">AB3^(1/3)</f>
        <v>#NUM!</v>
      </c>
      <c r="AD3" t="e">
        <f t="shared" ref="AD3:AD66" ca="1" si="22">AA3+AC3+V3</f>
        <v>#NUM!</v>
      </c>
      <c r="AE3">
        <f t="shared" ref="AE3:AE66" ca="1" si="23">IF(F3=0,IF(G3=0,J3,L3),IF(O3&gt;0,AD3,IF(AND(W3&gt;=0,W3&lt;=1),W3,IF(AND(X3&gt;=0,X3&lt;=1),X3,Y3))))</f>
        <v>0.99411526961897434</v>
      </c>
    </row>
    <row r="4" spans="1:33" x14ac:dyDescent="0.2">
      <c r="A4" s="6">
        <v>0.5</v>
      </c>
      <c r="B4" s="7">
        <f t="shared" ref="B4:B67" ca="1" si="24">IF(AND(A4&lt;&gt;"",A4&gt;=0,A4&lt;=1),D4+AE4*(E4-D4),"")</f>
        <v>0.105</v>
      </c>
      <c r="C4">
        <f ca="1">IF(A4&lt;1,LOOKUP(A4,Computations!$C$2:$C$100,Computations!$A$2:$A$100),n)</f>
        <v>8</v>
      </c>
      <c r="D4">
        <f t="shared" ca="1" si="0"/>
        <v>0.105</v>
      </c>
      <c r="E4">
        <f t="shared" ca="1" si="1"/>
        <v>0.12</v>
      </c>
      <c r="F4">
        <f t="shared" ref="F4:F66" ca="1" si="25">INDIRECT("Computations!S"&amp;C4)</f>
        <v>2.9999999999999943E-2</v>
      </c>
      <c r="G4">
        <f t="shared" ref="G4:G66" ca="1" si="26">INDIRECT("Computations!R"&amp;C4)</f>
        <v>-5.9999999999999956E-2</v>
      </c>
      <c r="H4">
        <f t="shared" ref="H4:H66" ca="1" si="27">INDIRECT("Computations!Q"&amp;C4)</f>
        <v>8.0000000000000057E-2</v>
      </c>
      <c r="I4">
        <f t="shared" ref="I4:I66" ca="1" si="28">INDIRECT("Computations!C"&amp;C4)-A4</f>
        <v>0</v>
      </c>
      <c r="J4">
        <f t="shared" ca="1" si="2"/>
        <v>0</v>
      </c>
      <c r="K4">
        <f t="shared" ca="1" si="3"/>
        <v>0</v>
      </c>
      <c r="L4">
        <f t="shared" ca="1" si="4"/>
        <v>0</v>
      </c>
      <c r="M4">
        <f t="shared" ca="1" si="5"/>
        <v>1.3333333333333373</v>
      </c>
      <c r="N4">
        <f t="shared" ca="1" si="6"/>
        <v>1.1851851851851896</v>
      </c>
      <c r="O4">
        <f t="shared" ca="1" si="7"/>
        <v>0.4389574759945164</v>
      </c>
      <c r="P4" t="e">
        <f t="shared" ca="1" si="8"/>
        <v>#NUM!</v>
      </c>
      <c r="Q4" t="e">
        <f t="shared" ca="1" si="9"/>
        <v>#NUM!</v>
      </c>
      <c r="R4" t="e">
        <f t="shared" ca="1" si="10"/>
        <v>#NUM!</v>
      </c>
      <c r="S4" t="e">
        <f t="shared" ca="1" si="11"/>
        <v>#NUM!</v>
      </c>
      <c r="T4" t="e">
        <f t="shared" ca="1" si="12"/>
        <v>#NUM!</v>
      </c>
      <c r="U4" t="e">
        <f t="shared" ca="1" si="13"/>
        <v>#NUM!</v>
      </c>
      <c r="V4">
        <f t="shared" ca="1" si="14"/>
        <v>0.66666666666666741</v>
      </c>
      <c r="W4" t="e">
        <f t="shared" ca="1" si="15"/>
        <v>#NUM!</v>
      </c>
      <c r="X4" t="e">
        <f t="shared" ca="1" si="16"/>
        <v>#NUM!</v>
      </c>
      <c r="Y4" t="e">
        <f t="shared" ca="1" si="17"/>
        <v>#NUM!</v>
      </c>
      <c r="Z4">
        <f t="shared" ca="1" si="18"/>
        <v>6.9946067407345436E-2</v>
      </c>
      <c r="AA4">
        <f t="shared" ca="1" si="19"/>
        <v>0.41202265916659725</v>
      </c>
      <c r="AB4">
        <f t="shared" ca="1" si="20"/>
        <v>-1.2551312525925349</v>
      </c>
      <c r="AC4">
        <f t="shared" ca="1" si="21"/>
        <v>-1.0786893258332646</v>
      </c>
      <c r="AD4">
        <f t="shared" ca="1" si="22"/>
        <v>0</v>
      </c>
      <c r="AE4">
        <f t="shared" ca="1" si="23"/>
        <v>0</v>
      </c>
    </row>
    <row r="5" spans="1:33" x14ac:dyDescent="0.2">
      <c r="A5" s="6">
        <v>0</v>
      </c>
      <c r="B5" s="7">
        <f t="shared" ca="1" si="24"/>
        <v>1.4999999999999999E-2</v>
      </c>
      <c r="C5">
        <f ca="1">IF(A5&lt;1,LOOKUP(A5,Computations!$C$2:$C$100,Computations!$A$2:$A$100),n)</f>
        <v>2</v>
      </c>
      <c r="D5">
        <f t="shared" ca="1" si="0"/>
        <v>1.4999999999999999E-2</v>
      </c>
      <c r="E5">
        <f t="shared" ca="1" si="1"/>
        <v>0.03</v>
      </c>
      <c r="F5">
        <f t="shared" ca="1" si="25"/>
        <v>-1.6666666666666774E-3</v>
      </c>
      <c r="G5">
        <f t="shared" ca="1" si="26"/>
        <v>1.1666666666666679E-2</v>
      </c>
      <c r="H5">
        <f t="shared" ca="1" si="27"/>
        <v>0.04</v>
      </c>
      <c r="I5">
        <f t="shared" ca="1" si="28"/>
        <v>0</v>
      </c>
      <c r="J5">
        <f t="shared" ca="1" si="2"/>
        <v>0</v>
      </c>
      <c r="K5">
        <f t="shared" ca="1" si="3"/>
        <v>0</v>
      </c>
      <c r="L5">
        <f t="shared" ca="1" si="4"/>
        <v>0</v>
      </c>
      <c r="M5">
        <f t="shared" ca="1" si="5"/>
        <v>-40.333333333333002</v>
      </c>
      <c r="N5">
        <f t="shared" ca="1" si="6"/>
        <v>-81.407407407406353</v>
      </c>
      <c r="O5">
        <f t="shared" ca="1" si="7"/>
        <v>-773.3333333333162</v>
      </c>
      <c r="P5">
        <f t="shared" ca="1" si="8"/>
        <v>49.296296296295687</v>
      </c>
      <c r="Q5">
        <f t="shared" ca="1" si="9"/>
        <v>3.6666666666666514</v>
      </c>
      <c r="R5">
        <f t="shared" ca="1" si="10"/>
        <v>0.59936328097424707</v>
      </c>
      <c r="S5">
        <f t="shared" ca="1" si="11"/>
        <v>-3.6666666666666514</v>
      </c>
      <c r="T5">
        <f t="shared" ca="1" si="12"/>
        <v>0.98010872128129278</v>
      </c>
      <c r="U5">
        <f t="shared" ca="1" si="13"/>
        <v>0.34374508491765693</v>
      </c>
      <c r="V5">
        <f t="shared" ca="1" si="14"/>
        <v>2.333333333333321</v>
      </c>
      <c r="W5">
        <f t="shared" ca="1" si="15"/>
        <v>9.5207972893961053</v>
      </c>
      <c r="X5">
        <f t="shared" ca="1" si="16"/>
        <v>-2.5207972893961412</v>
      </c>
      <c r="Y5">
        <f t="shared" ca="1" si="17"/>
        <v>0</v>
      </c>
      <c r="Z5" t="e">
        <f t="shared" ca="1" si="18"/>
        <v>#NUM!</v>
      </c>
      <c r="AA5" t="e">
        <f t="shared" ca="1" si="19"/>
        <v>#NUM!</v>
      </c>
      <c r="AB5" t="e">
        <f t="shared" ca="1" si="20"/>
        <v>#NUM!</v>
      </c>
      <c r="AC5" t="e">
        <f t="shared" ca="1" si="21"/>
        <v>#NUM!</v>
      </c>
      <c r="AD5" t="e">
        <f t="shared" ca="1" si="22"/>
        <v>#NUM!</v>
      </c>
      <c r="AE5">
        <f t="shared" ca="1" si="23"/>
        <v>0</v>
      </c>
    </row>
    <row r="6" spans="1:33" x14ac:dyDescent="0.2">
      <c r="A6" s="6"/>
      <c r="B6" s="7" t="str">
        <f t="shared" si="24"/>
        <v/>
      </c>
      <c r="C6">
        <f ca="1">IF(A6&lt;1,LOOKUP(A6,Computations!$C$2:$C$100,Computations!$A$2:$A$100),n)</f>
        <v>2</v>
      </c>
      <c r="D6">
        <f t="shared" ca="1" si="0"/>
        <v>1.4999999999999999E-2</v>
      </c>
      <c r="E6">
        <f t="shared" ca="1" si="1"/>
        <v>0.03</v>
      </c>
      <c r="F6">
        <f t="shared" ca="1" si="25"/>
        <v>-1.6666666666666774E-3</v>
      </c>
      <c r="G6">
        <f t="shared" ca="1" si="26"/>
        <v>1.1666666666666679E-2</v>
      </c>
      <c r="H6">
        <f t="shared" ca="1" si="27"/>
        <v>0.04</v>
      </c>
      <c r="I6">
        <f t="shared" ca="1" si="28"/>
        <v>0</v>
      </c>
      <c r="J6">
        <f t="shared" ca="1" si="2"/>
        <v>0</v>
      </c>
      <c r="K6">
        <f t="shared" ca="1" si="3"/>
        <v>0</v>
      </c>
      <c r="L6">
        <f t="shared" ca="1" si="4"/>
        <v>0</v>
      </c>
      <c r="M6">
        <f t="shared" ca="1" si="5"/>
        <v>-40.333333333333002</v>
      </c>
      <c r="N6">
        <f t="shared" ca="1" si="6"/>
        <v>-81.407407407406353</v>
      </c>
      <c r="O6">
        <f t="shared" ca="1" si="7"/>
        <v>-773.3333333333162</v>
      </c>
      <c r="P6">
        <f t="shared" ca="1" si="8"/>
        <v>49.296296296295687</v>
      </c>
      <c r="Q6">
        <f t="shared" ca="1" si="9"/>
        <v>3.6666666666666514</v>
      </c>
      <c r="R6">
        <f t="shared" ca="1" si="10"/>
        <v>0.59936328097424707</v>
      </c>
      <c r="S6">
        <f t="shared" ca="1" si="11"/>
        <v>-3.6666666666666514</v>
      </c>
      <c r="T6">
        <f t="shared" ca="1" si="12"/>
        <v>0.98010872128129278</v>
      </c>
      <c r="U6">
        <f t="shared" ca="1" si="13"/>
        <v>0.34374508491765693</v>
      </c>
      <c r="V6">
        <f t="shared" ca="1" si="14"/>
        <v>2.333333333333321</v>
      </c>
      <c r="W6">
        <f t="shared" ca="1" si="15"/>
        <v>9.5207972893961053</v>
      </c>
      <c r="X6">
        <f t="shared" ca="1" si="16"/>
        <v>-2.5207972893961412</v>
      </c>
      <c r="Y6">
        <f t="shared" ca="1" si="17"/>
        <v>0</v>
      </c>
      <c r="Z6" t="e">
        <f t="shared" ca="1" si="18"/>
        <v>#NUM!</v>
      </c>
      <c r="AA6" t="e">
        <f t="shared" ca="1" si="19"/>
        <v>#NUM!</v>
      </c>
      <c r="AB6" t="e">
        <f t="shared" ca="1" si="20"/>
        <v>#NUM!</v>
      </c>
      <c r="AC6" t="e">
        <f t="shared" ca="1" si="21"/>
        <v>#NUM!</v>
      </c>
      <c r="AD6" t="e">
        <f t="shared" ca="1" si="22"/>
        <v>#NUM!</v>
      </c>
      <c r="AE6">
        <f t="shared" ca="1" si="23"/>
        <v>0</v>
      </c>
    </row>
    <row r="7" spans="1:33" x14ac:dyDescent="0.2">
      <c r="A7" s="6"/>
      <c r="B7" s="7" t="str">
        <f t="shared" si="24"/>
        <v/>
      </c>
      <c r="C7">
        <f ca="1">IF(A7&lt;1,LOOKUP(A7,Computations!$C$2:$C$100,Computations!$A$2:$A$100),n)</f>
        <v>2</v>
      </c>
      <c r="D7">
        <f t="shared" ca="1" si="0"/>
        <v>1.4999999999999999E-2</v>
      </c>
      <c r="E7">
        <f t="shared" ca="1" si="1"/>
        <v>0.03</v>
      </c>
      <c r="F7">
        <f t="shared" ca="1" si="25"/>
        <v>-1.6666666666666774E-3</v>
      </c>
      <c r="G7">
        <f t="shared" ca="1" si="26"/>
        <v>1.1666666666666679E-2</v>
      </c>
      <c r="H7">
        <f t="shared" ca="1" si="27"/>
        <v>0.04</v>
      </c>
      <c r="I7">
        <f t="shared" ca="1" si="28"/>
        <v>0</v>
      </c>
      <c r="J7">
        <f t="shared" ca="1" si="2"/>
        <v>0</v>
      </c>
      <c r="K7">
        <f t="shared" ca="1" si="3"/>
        <v>0</v>
      </c>
      <c r="L7">
        <f t="shared" ca="1" si="4"/>
        <v>0</v>
      </c>
      <c r="M7">
        <f t="shared" ca="1" si="5"/>
        <v>-40.333333333333002</v>
      </c>
      <c r="N7">
        <f t="shared" ca="1" si="6"/>
        <v>-81.407407407406353</v>
      </c>
      <c r="O7">
        <f t="shared" ca="1" si="7"/>
        <v>-773.3333333333162</v>
      </c>
      <c r="P7">
        <f t="shared" ca="1" si="8"/>
        <v>49.296296296295687</v>
      </c>
      <c r="Q7">
        <f t="shared" ca="1" si="9"/>
        <v>3.6666666666666514</v>
      </c>
      <c r="R7">
        <f t="shared" ca="1" si="10"/>
        <v>0.59936328097424707</v>
      </c>
      <c r="S7">
        <f t="shared" ca="1" si="11"/>
        <v>-3.6666666666666514</v>
      </c>
      <c r="T7">
        <f t="shared" ca="1" si="12"/>
        <v>0.98010872128129278</v>
      </c>
      <c r="U7">
        <f t="shared" ca="1" si="13"/>
        <v>0.34374508491765693</v>
      </c>
      <c r="V7">
        <f t="shared" ca="1" si="14"/>
        <v>2.333333333333321</v>
      </c>
      <c r="W7">
        <f t="shared" ca="1" si="15"/>
        <v>9.5207972893961053</v>
      </c>
      <c r="X7">
        <f t="shared" ca="1" si="16"/>
        <v>-2.5207972893961412</v>
      </c>
      <c r="Y7">
        <f t="shared" ca="1" si="17"/>
        <v>0</v>
      </c>
      <c r="Z7" t="e">
        <f t="shared" ca="1" si="18"/>
        <v>#NUM!</v>
      </c>
      <c r="AA7" t="e">
        <f t="shared" ca="1" si="19"/>
        <v>#NUM!</v>
      </c>
      <c r="AB7" t="e">
        <f t="shared" ca="1" si="20"/>
        <v>#NUM!</v>
      </c>
      <c r="AC7" t="e">
        <f t="shared" ca="1" si="21"/>
        <v>#NUM!</v>
      </c>
      <c r="AD7" t="e">
        <f t="shared" ca="1" si="22"/>
        <v>#NUM!</v>
      </c>
      <c r="AE7">
        <f t="shared" ca="1" si="23"/>
        <v>0</v>
      </c>
    </row>
    <row r="8" spans="1:33" x14ac:dyDescent="0.2">
      <c r="A8" s="6"/>
      <c r="B8" s="7" t="str">
        <f t="shared" si="24"/>
        <v/>
      </c>
      <c r="C8">
        <f ca="1">IF(A8&lt;1,LOOKUP(A8,Computations!$C$2:$C$100,Computations!$A$2:$A$100),n)</f>
        <v>2</v>
      </c>
      <c r="D8">
        <f t="shared" ca="1" si="0"/>
        <v>1.4999999999999999E-2</v>
      </c>
      <c r="E8">
        <f t="shared" ca="1" si="1"/>
        <v>0.03</v>
      </c>
      <c r="F8">
        <f t="shared" ca="1" si="25"/>
        <v>-1.6666666666666774E-3</v>
      </c>
      <c r="G8">
        <f t="shared" ca="1" si="26"/>
        <v>1.1666666666666679E-2</v>
      </c>
      <c r="H8">
        <f t="shared" ca="1" si="27"/>
        <v>0.04</v>
      </c>
      <c r="I8">
        <f t="shared" ca="1" si="28"/>
        <v>0</v>
      </c>
      <c r="J8">
        <f t="shared" ca="1" si="2"/>
        <v>0</v>
      </c>
      <c r="K8">
        <f t="shared" ca="1" si="3"/>
        <v>0</v>
      </c>
      <c r="L8">
        <f t="shared" ca="1" si="4"/>
        <v>0</v>
      </c>
      <c r="M8">
        <f t="shared" ca="1" si="5"/>
        <v>-40.333333333333002</v>
      </c>
      <c r="N8">
        <f t="shared" ca="1" si="6"/>
        <v>-81.407407407406353</v>
      </c>
      <c r="O8">
        <f t="shared" ca="1" si="7"/>
        <v>-773.3333333333162</v>
      </c>
      <c r="P8">
        <f t="shared" ca="1" si="8"/>
        <v>49.296296296295687</v>
      </c>
      <c r="Q8">
        <f t="shared" ca="1" si="9"/>
        <v>3.6666666666666514</v>
      </c>
      <c r="R8">
        <f t="shared" ca="1" si="10"/>
        <v>0.59936328097424707</v>
      </c>
      <c r="S8">
        <f t="shared" ca="1" si="11"/>
        <v>-3.6666666666666514</v>
      </c>
      <c r="T8">
        <f t="shared" ca="1" si="12"/>
        <v>0.98010872128129278</v>
      </c>
      <c r="U8">
        <f t="shared" ca="1" si="13"/>
        <v>0.34374508491765693</v>
      </c>
      <c r="V8">
        <f t="shared" ca="1" si="14"/>
        <v>2.333333333333321</v>
      </c>
      <c r="W8">
        <f t="shared" ca="1" si="15"/>
        <v>9.5207972893961053</v>
      </c>
      <c r="X8">
        <f t="shared" ca="1" si="16"/>
        <v>-2.5207972893961412</v>
      </c>
      <c r="Y8">
        <f t="shared" ca="1" si="17"/>
        <v>0</v>
      </c>
      <c r="Z8" t="e">
        <f t="shared" ca="1" si="18"/>
        <v>#NUM!</v>
      </c>
      <c r="AA8" t="e">
        <f t="shared" ca="1" si="19"/>
        <v>#NUM!</v>
      </c>
      <c r="AB8" t="e">
        <f t="shared" ca="1" si="20"/>
        <v>#NUM!</v>
      </c>
      <c r="AC8" t="e">
        <f t="shared" ca="1" si="21"/>
        <v>#NUM!</v>
      </c>
      <c r="AD8" t="e">
        <f t="shared" ca="1" si="22"/>
        <v>#NUM!</v>
      </c>
      <c r="AE8">
        <f t="shared" ca="1" si="23"/>
        <v>0</v>
      </c>
    </row>
    <row r="9" spans="1:33" x14ac:dyDescent="0.2">
      <c r="A9" s="6"/>
      <c r="B9" s="7" t="str">
        <f t="shared" si="24"/>
        <v/>
      </c>
      <c r="C9">
        <f ca="1">IF(A9&lt;1,LOOKUP(A9,Computations!$C$2:$C$100,Computations!$A$2:$A$100),n)</f>
        <v>2</v>
      </c>
      <c r="D9">
        <f t="shared" ca="1" si="0"/>
        <v>1.4999999999999999E-2</v>
      </c>
      <c r="E9">
        <f t="shared" ca="1" si="1"/>
        <v>0.03</v>
      </c>
      <c r="F9">
        <f t="shared" ca="1" si="25"/>
        <v>-1.6666666666666774E-3</v>
      </c>
      <c r="G9">
        <f t="shared" ca="1" si="26"/>
        <v>1.1666666666666679E-2</v>
      </c>
      <c r="H9">
        <f t="shared" ca="1" si="27"/>
        <v>0.04</v>
      </c>
      <c r="I9">
        <f t="shared" ca="1" si="28"/>
        <v>0</v>
      </c>
      <c r="J9">
        <f t="shared" ca="1" si="2"/>
        <v>0</v>
      </c>
      <c r="K9">
        <f t="shared" ca="1" si="3"/>
        <v>0</v>
      </c>
      <c r="L9">
        <f t="shared" ca="1" si="4"/>
        <v>0</v>
      </c>
      <c r="M9">
        <f t="shared" ca="1" si="5"/>
        <v>-40.333333333333002</v>
      </c>
      <c r="N9">
        <f t="shared" ca="1" si="6"/>
        <v>-81.407407407406353</v>
      </c>
      <c r="O9">
        <f t="shared" ca="1" si="7"/>
        <v>-773.3333333333162</v>
      </c>
      <c r="P9">
        <f t="shared" ca="1" si="8"/>
        <v>49.296296296295687</v>
      </c>
      <c r="Q9">
        <f t="shared" ca="1" si="9"/>
        <v>3.6666666666666514</v>
      </c>
      <c r="R9">
        <f t="shared" ca="1" si="10"/>
        <v>0.59936328097424707</v>
      </c>
      <c r="S9">
        <f t="shared" ca="1" si="11"/>
        <v>-3.6666666666666514</v>
      </c>
      <c r="T9">
        <f t="shared" ca="1" si="12"/>
        <v>0.98010872128129278</v>
      </c>
      <c r="U9">
        <f t="shared" ca="1" si="13"/>
        <v>0.34374508491765693</v>
      </c>
      <c r="V9">
        <f t="shared" ca="1" si="14"/>
        <v>2.333333333333321</v>
      </c>
      <c r="W9">
        <f t="shared" ca="1" si="15"/>
        <v>9.5207972893961053</v>
      </c>
      <c r="X9">
        <f t="shared" ca="1" si="16"/>
        <v>-2.5207972893961412</v>
      </c>
      <c r="Y9">
        <f t="shared" ca="1" si="17"/>
        <v>0</v>
      </c>
      <c r="Z9" t="e">
        <f t="shared" ca="1" si="18"/>
        <v>#NUM!</v>
      </c>
      <c r="AA9" t="e">
        <f t="shared" ca="1" si="19"/>
        <v>#NUM!</v>
      </c>
      <c r="AB9" t="e">
        <f t="shared" ca="1" si="20"/>
        <v>#NUM!</v>
      </c>
      <c r="AC9" t="e">
        <f t="shared" ca="1" si="21"/>
        <v>#NUM!</v>
      </c>
      <c r="AD9" t="e">
        <f t="shared" ca="1" si="22"/>
        <v>#NUM!</v>
      </c>
      <c r="AE9">
        <f t="shared" ca="1" si="23"/>
        <v>0</v>
      </c>
    </row>
    <row r="10" spans="1:33" x14ac:dyDescent="0.2">
      <c r="A10" s="6"/>
      <c r="B10" s="7" t="str">
        <f t="shared" si="24"/>
        <v/>
      </c>
      <c r="C10">
        <f ca="1">IF(A10&lt;1,LOOKUP(A10,Computations!$C$2:$C$100,Computations!$A$2:$A$100),n)</f>
        <v>2</v>
      </c>
      <c r="D10">
        <f t="shared" ca="1" si="0"/>
        <v>1.4999999999999999E-2</v>
      </c>
      <c r="E10">
        <f t="shared" ca="1" si="1"/>
        <v>0.03</v>
      </c>
      <c r="F10">
        <f t="shared" ca="1" si="25"/>
        <v>-1.6666666666666774E-3</v>
      </c>
      <c r="G10">
        <f t="shared" ca="1" si="26"/>
        <v>1.1666666666666679E-2</v>
      </c>
      <c r="H10">
        <f t="shared" ca="1" si="27"/>
        <v>0.04</v>
      </c>
      <c r="I10">
        <f t="shared" ca="1" si="28"/>
        <v>0</v>
      </c>
      <c r="J10">
        <f t="shared" ca="1" si="2"/>
        <v>0</v>
      </c>
      <c r="K10">
        <f t="shared" ca="1" si="3"/>
        <v>0</v>
      </c>
      <c r="L10">
        <f t="shared" ca="1" si="4"/>
        <v>0</v>
      </c>
      <c r="M10">
        <f t="shared" ca="1" si="5"/>
        <v>-40.333333333333002</v>
      </c>
      <c r="N10">
        <f t="shared" ca="1" si="6"/>
        <v>-81.407407407406353</v>
      </c>
      <c r="O10">
        <f t="shared" ca="1" si="7"/>
        <v>-773.3333333333162</v>
      </c>
      <c r="P10">
        <f t="shared" ca="1" si="8"/>
        <v>49.296296296295687</v>
      </c>
      <c r="Q10">
        <f t="shared" ca="1" si="9"/>
        <v>3.6666666666666514</v>
      </c>
      <c r="R10">
        <f t="shared" ca="1" si="10"/>
        <v>0.59936328097424707</v>
      </c>
      <c r="S10">
        <f t="shared" ca="1" si="11"/>
        <v>-3.6666666666666514</v>
      </c>
      <c r="T10">
        <f t="shared" ca="1" si="12"/>
        <v>0.98010872128129278</v>
      </c>
      <c r="U10">
        <f t="shared" ca="1" si="13"/>
        <v>0.34374508491765693</v>
      </c>
      <c r="V10">
        <f t="shared" ca="1" si="14"/>
        <v>2.333333333333321</v>
      </c>
      <c r="W10">
        <f t="shared" ca="1" si="15"/>
        <v>9.5207972893961053</v>
      </c>
      <c r="X10">
        <f t="shared" ca="1" si="16"/>
        <v>-2.5207972893961412</v>
      </c>
      <c r="Y10">
        <f t="shared" ca="1" si="17"/>
        <v>0</v>
      </c>
      <c r="Z10" t="e">
        <f t="shared" ca="1" si="18"/>
        <v>#NUM!</v>
      </c>
      <c r="AA10" t="e">
        <f t="shared" ca="1" si="19"/>
        <v>#NUM!</v>
      </c>
      <c r="AB10" t="e">
        <f t="shared" ca="1" si="20"/>
        <v>#NUM!</v>
      </c>
      <c r="AC10" t="e">
        <f t="shared" ca="1" si="21"/>
        <v>#NUM!</v>
      </c>
      <c r="AD10" t="e">
        <f t="shared" ca="1" si="22"/>
        <v>#NUM!</v>
      </c>
      <c r="AE10">
        <f t="shared" ca="1" si="23"/>
        <v>0</v>
      </c>
    </row>
    <row r="11" spans="1:33" x14ac:dyDescent="0.2">
      <c r="A11" s="6"/>
      <c r="B11" s="7" t="str">
        <f t="shared" si="24"/>
        <v/>
      </c>
      <c r="C11">
        <f ca="1">IF(A11&lt;1,LOOKUP(A11,Computations!$C$2:$C$100,Computations!$A$2:$A$100),n)</f>
        <v>2</v>
      </c>
      <c r="D11">
        <f t="shared" ca="1" si="0"/>
        <v>1.4999999999999999E-2</v>
      </c>
      <c r="E11">
        <f t="shared" ca="1" si="1"/>
        <v>0.03</v>
      </c>
      <c r="F11">
        <f t="shared" ca="1" si="25"/>
        <v>-1.6666666666666774E-3</v>
      </c>
      <c r="G11">
        <f t="shared" ca="1" si="26"/>
        <v>1.1666666666666679E-2</v>
      </c>
      <c r="H11">
        <f t="shared" ca="1" si="27"/>
        <v>0.04</v>
      </c>
      <c r="I11">
        <f t="shared" ca="1" si="28"/>
        <v>0</v>
      </c>
      <c r="J11">
        <f t="shared" ca="1" si="2"/>
        <v>0</v>
      </c>
      <c r="K11">
        <f t="shared" ca="1" si="3"/>
        <v>0</v>
      </c>
      <c r="L11">
        <f t="shared" ca="1" si="4"/>
        <v>0</v>
      </c>
      <c r="M11">
        <f t="shared" ca="1" si="5"/>
        <v>-40.333333333333002</v>
      </c>
      <c r="N11">
        <f t="shared" ca="1" si="6"/>
        <v>-81.407407407406353</v>
      </c>
      <c r="O11">
        <f t="shared" ca="1" si="7"/>
        <v>-773.3333333333162</v>
      </c>
      <c r="P11">
        <f t="shared" ca="1" si="8"/>
        <v>49.296296296295687</v>
      </c>
      <c r="Q11">
        <f t="shared" ca="1" si="9"/>
        <v>3.6666666666666514</v>
      </c>
      <c r="R11">
        <f t="shared" ca="1" si="10"/>
        <v>0.59936328097424707</v>
      </c>
      <c r="S11">
        <f t="shared" ca="1" si="11"/>
        <v>-3.6666666666666514</v>
      </c>
      <c r="T11">
        <f t="shared" ca="1" si="12"/>
        <v>0.98010872128129278</v>
      </c>
      <c r="U11">
        <f t="shared" ca="1" si="13"/>
        <v>0.34374508491765693</v>
      </c>
      <c r="V11">
        <f t="shared" ca="1" si="14"/>
        <v>2.333333333333321</v>
      </c>
      <c r="W11">
        <f t="shared" ca="1" si="15"/>
        <v>9.5207972893961053</v>
      </c>
      <c r="X11">
        <f t="shared" ca="1" si="16"/>
        <v>-2.5207972893961412</v>
      </c>
      <c r="Y11">
        <f t="shared" ca="1" si="17"/>
        <v>0</v>
      </c>
      <c r="Z11" t="e">
        <f t="shared" ca="1" si="18"/>
        <v>#NUM!</v>
      </c>
      <c r="AA11" t="e">
        <f t="shared" ca="1" si="19"/>
        <v>#NUM!</v>
      </c>
      <c r="AB11" t="e">
        <f t="shared" ca="1" si="20"/>
        <v>#NUM!</v>
      </c>
      <c r="AC11" t="e">
        <f t="shared" ca="1" si="21"/>
        <v>#NUM!</v>
      </c>
      <c r="AD11" t="e">
        <f t="shared" ca="1" si="22"/>
        <v>#NUM!</v>
      </c>
      <c r="AE11">
        <f t="shared" ca="1" si="23"/>
        <v>0</v>
      </c>
    </row>
    <row r="12" spans="1:33" x14ac:dyDescent="0.2">
      <c r="A12" s="6"/>
      <c r="B12" s="7" t="str">
        <f t="shared" si="24"/>
        <v/>
      </c>
      <c r="C12">
        <f ca="1">IF(A12&lt;1,LOOKUP(A12,Computations!$C$2:$C$100,Computations!$A$2:$A$100),n)</f>
        <v>2</v>
      </c>
      <c r="D12">
        <f t="shared" ca="1" si="0"/>
        <v>1.4999999999999999E-2</v>
      </c>
      <c r="E12">
        <f t="shared" ca="1" si="1"/>
        <v>0.03</v>
      </c>
      <c r="F12">
        <f t="shared" ca="1" si="25"/>
        <v>-1.6666666666666774E-3</v>
      </c>
      <c r="G12">
        <f t="shared" ca="1" si="26"/>
        <v>1.1666666666666679E-2</v>
      </c>
      <c r="H12">
        <f t="shared" ca="1" si="27"/>
        <v>0.04</v>
      </c>
      <c r="I12">
        <f t="shared" ca="1" si="28"/>
        <v>0</v>
      </c>
      <c r="J12">
        <f t="shared" ca="1" si="2"/>
        <v>0</v>
      </c>
      <c r="K12">
        <f t="shared" ca="1" si="3"/>
        <v>0</v>
      </c>
      <c r="L12">
        <f t="shared" ca="1" si="4"/>
        <v>0</v>
      </c>
      <c r="M12">
        <f t="shared" ca="1" si="5"/>
        <v>-40.333333333333002</v>
      </c>
      <c r="N12">
        <f t="shared" ca="1" si="6"/>
        <v>-81.407407407406353</v>
      </c>
      <c r="O12">
        <f t="shared" ca="1" si="7"/>
        <v>-773.3333333333162</v>
      </c>
      <c r="P12">
        <f t="shared" ca="1" si="8"/>
        <v>49.296296296295687</v>
      </c>
      <c r="Q12">
        <f t="shared" ca="1" si="9"/>
        <v>3.6666666666666514</v>
      </c>
      <c r="R12">
        <f t="shared" ca="1" si="10"/>
        <v>0.59936328097424707</v>
      </c>
      <c r="S12">
        <f t="shared" ca="1" si="11"/>
        <v>-3.6666666666666514</v>
      </c>
      <c r="T12">
        <f t="shared" ca="1" si="12"/>
        <v>0.98010872128129278</v>
      </c>
      <c r="U12">
        <f t="shared" ca="1" si="13"/>
        <v>0.34374508491765693</v>
      </c>
      <c r="V12">
        <f t="shared" ca="1" si="14"/>
        <v>2.333333333333321</v>
      </c>
      <c r="W12">
        <f t="shared" ca="1" si="15"/>
        <v>9.5207972893961053</v>
      </c>
      <c r="X12">
        <f t="shared" ca="1" si="16"/>
        <v>-2.5207972893961412</v>
      </c>
      <c r="Y12">
        <f t="shared" ca="1" si="17"/>
        <v>0</v>
      </c>
      <c r="Z12" t="e">
        <f t="shared" ca="1" si="18"/>
        <v>#NUM!</v>
      </c>
      <c r="AA12" t="e">
        <f t="shared" ca="1" si="19"/>
        <v>#NUM!</v>
      </c>
      <c r="AB12" t="e">
        <f t="shared" ca="1" si="20"/>
        <v>#NUM!</v>
      </c>
      <c r="AC12" t="e">
        <f t="shared" ca="1" si="21"/>
        <v>#NUM!</v>
      </c>
      <c r="AD12" t="e">
        <f t="shared" ca="1" si="22"/>
        <v>#NUM!</v>
      </c>
      <c r="AE12">
        <f t="shared" ca="1" si="23"/>
        <v>0</v>
      </c>
    </row>
    <row r="13" spans="1:33" x14ac:dyDescent="0.2">
      <c r="A13" s="6"/>
      <c r="B13" s="7" t="str">
        <f t="shared" si="24"/>
        <v/>
      </c>
      <c r="C13">
        <f ca="1">IF(A13&lt;1,LOOKUP(A13,Computations!$C$2:$C$100,Computations!$A$2:$A$100),n)</f>
        <v>2</v>
      </c>
      <c r="D13">
        <f t="shared" ca="1" si="0"/>
        <v>1.4999999999999999E-2</v>
      </c>
      <c r="E13">
        <f t="shared" ca="1" si="1"/>
        <v>0.03</v>
      </c>
      <c r="F13">
        <f t="shared" ca="1" si="25"/>
        <v>-1.6666666666666774E-3</v>
      </c>
      <c r="G13">
        <f t="shared" ca="1" si="26"/>
        <v>1.1666666666666679E-2</v>
      </c>
      <c r="H13">
        <f t="shared" ca="1" si="27"/>
        <v>0.04</v>
      </c>
      <c r="I13">
        <f t="shared" ca="1" si="28"/>
        <v>0</v>
      </c>
      <c r="J13">
        <f t="shared" ca="1" si="2"/>
        <v>0</v>
      </c>
      <c r="K13">
        <f t="shared" ca="1" si="3"/>
        <v>0</v>
      </c>
      <c r="L13">
        <f t="shared" ca="1" si="4"/>
        <v>0</v>
      </c>
      <c r="M13">
        <f t="shared" ca="1" si="5"/>
        <v>-40.333333333333002</v>
      </c>
      <c r="N13">
        <f t="shared" ca="1" si="6"/>
        <v>-81.407407407406353</v>
      </c>
      <c r="O13">
        <f t="shared" ca="1" si="7"/>
        <v>-773.3333333333162</v>
      </c>
      <c r="P13">
        <f t="shared" ca="1" si="8"/>
        <v>49.296296296295687</v>
      </c>
      <c r="Q13">
        <f t="shared" ca="1" si="9"/>
        <v>3.6666666666666514</v>
      </c>
      <c r="R13">
        <f t="shared" ca="1" si="10"/>
        <v>0.59936328097424707</v>
      </c>
      <c r="S13">
        <f t="shared" ca="1" si="11"/>
        <v>-3.6666666666666514</v>
      </c>
      <c r="T13">
        <f t="shared" ca="1" si="12"/>
        <v>0.98010872128129278</v>
      </c>
      <c r="U13">
        <f t="shared" ca="1" si="13"/>
        <v>0.34374508491765693</v>
      </c>
      <c r="V13">
        <f t="shared" ca="1" si="14"/>
        <v>2.333333333333321</v>
      </c>
      <c r="W13">
        <f t="shared" ca="1" si="15"/>
        <v>9.5207972893961053</v>
      </c>
      <c r="X13">
        <f t="shared" ca="1" si="16"/>
        <v>-2.5207972893961412</v>
      </c>
      <c r="Y13">
        <f t="shared" ca="1" si="17"/>
        <v>0</v>
      </c>
      <c r="Z13" t="e">
        <f t="shared" ca="1" si="18"/>
        <v>#NUM!</v>
      </c>
      <c r="AA13" t="e">
        <f t="shared" ca="1" si="19"/>
        <v>#NUM!</v>
      </c>
      <c r="AB13" t="e">
        <f t="shared" ca="1" si="20"/>
        <v>#NUM!</v>
      </c>
      <c r="AC13" t="e">
        <f t="shared" ca="1" si="21"/>
        <v>#NUM!</v>
      </c>
      <c r="AD13" t="e">
        <f t="shared" ca="1" si="22"/>
        <v>#NUM!</v>
      </c>
      <c r="AE13">
        <f t="shared" ca="1" si="23"/>
        <v>0</v>
      </c>
    </row>
    <row r="14" spans="1:33" x14ac:dyDescent="0.2">
      <c r="A14" s="6"/>
      <c r="B14" s="7" t="str">
        <f t="shared" si="24"/>
        <v/>
      </c>
      <c r="C14">
        <f ca="1">IF(A14&lt;1,LOOKUP(A14,Computations!$C$2:$C$100,Computations!$A$2:$A$100),n)</f>
        <v>2</v>
      </c>
      <c r="D14">
        <f t="shared" ca="1" si="0"/>
        <v>1.4999999999999999E-2</v>
      </c>
      <c r="E14">
        <f t="shared" ca="1" si="1"/>
        <v>0.03</v>
      </c>
      <c r="F14">
        <f t="shared" ca="1" si="25"/>
        <v>-1.6666666666666774E-3</v>
      </c>
      <c r="G14">
        <f t="shared" ca="1" si="26"/>
        <v>1.1666666666666679E-2</v>
      </c>
      <c r="H14">
        <f t="shared" ca="1" si="27"/>
        <v>0.04</v>
      </c>
      <c r="I14">
        <f t="shared" ca="1" si="28"/>
        <v>0</v>
      </c>
      <c r="J14">
        <f t="shared" ca="1" si="2"/>
        <v>0</v>
      </c>
      <c r="K14">
        <f t="shared" ca="1" si="3"/>
        <v>0</v>
      </c>
      <c r="L14">
        <f t="shared" ca="1" si="4"/>
        <v>0</v>
      </c>
      <c r="M14">
        <f t="shared" ca="1" si="5"/>
        <v>-40.333333333333002</v>
      </c>
      <c r="N14">
        <f t="shared" ca="1" si="6"/>
        <v>-81.407407407406353</v>
      </c>
      <c r="O14">
        <f t="shared" ca="1" si="7"/>
        <v>-773.3333333333162</v>
      </c>
      <c r="P14">
        <f t="shared" ca="1" si="8"/>
        <v>49.296296296295687</v>
      </c>
      <c r="Q14">
        <f t="shared" ca="1" si="9"/>
        <v>3.6666666666666514</v>
      </c>
      <c r="R14">
        <f t="shared" ca="1" si="10"/>
        <v>0.59936328097424707</v>
      </c>
      <c r="S14">
        <f t="shared" ca="1" si="11"/>
        <v>-3.6666666666666514</v>
      </c>
      <c r="T14">
        <f t="shared" ca="1" si="12"/>
        <v>0.98010872128129278</v>
      </c>
      <c r="U14">
        <f t="shared" ca="1" si="13"/>
        <v>0.34374508491765693</v>
      </c>
      <c r="V14">
        <f t="shared" ca="1" si="14"/>
        <v>2.333333333333321</v>
      </c>
      <c r="W14">
        <f t="shared" ca="1" si="15"/>
        <v>9.5207972893961053</v>
      </c>
      <c r="X14">
        <f t="shared" ca="1" si="16"/>
        <v>-2.5207972893961412</v>
      </c>
      <c r="Y14">
        <f t="shared" ca="1" si="17"/>
        <v>0</v>
      </c>
      <c r="Z14" t="e">
        <f t="shared" ca="1" si="18"/>
        <v>#NUM!</v>
      </c>
      <c r="AA14" t="e">
        <f t="shared" ca="1" si="19"/>
        <v>#NUM!</v>
      </c>
      <c r="AB14" t="e">
        <f t="shared" ca="1" si="20"/>
        <v>#NUM!</v>
      </c>
      <c r="AC14" t="e">
        <f t="shared" ca="1" si="21"/>
        <v>#NUM!</v>
      </c>
      <c r="AD14" t="e">
        <f t="shared" ca="1" si="22"/>
        <v>#NUM!</v>
      </c>
      <c r="AE14">
        <f t="shared" ca="1" si="23"/>
        <v>0</v>
      </c>
    </row>
    <row r="15" spans="1:33" x14ac:dyDescent="0.2">
      <c r="A15" s="6"/>
      <c r="B15" s="7" t="str">
        <f t="shared" si="24"/>
        <v/>
      </c>
      <c r="C15">
        <f ca="1">IF(A15&lt;1,LOOKUP(A15,Computations!$C$2:$C$100,Computations!$A$2:$A$100),n)</f>
        <v>2</v>
      </c>
      <c r="D15">
        <f t="shared" ca="1" si="0"/>
        <v>1.4999999999999999E-2</v>
      </c>
      <c r="E15">
        <f t="shared" ca="1" si="1"/>
        <v>0.03</v>
      </c>
      <c r="F15">
        <f t="shared" ca="1" si="25"/>
        <v>-1.6666666666666774E-3</v>
      </c>
      <c r="G15">
        <f t="shared" ca="1" si="26"/>
        <v>1.1666666666666679E-2</v>
      </c>
      <c r="H15">
        <f t="shared" ca="1" si="27"/>
        <v>0.04</v>
      </c>
      <c r="I15">
        <f t="shared" ca="1" si="28"/>
        <v>0</v>
      </c>
      <c r="J15">
        <f t="shared" ca="1" si="2"/>
        <v>0</v>
      </c>
      <c r="K15">
        <f t="shared" ca="1" si="3"/>
        <v>0</v>
      </c>
      <c r="L15">
        <f t="shared" ca="1" si="4"/>
        <v>0</v>
      </c>
      <c r="M15">
        <f t="shared" ca="1" si="5"/>
        <v>-40.333333333333002</v>
      </c>
      <c r="N15">
        <f t="shared" ca="1" si="6"/>
        <v>-81.407407407406353</v>
      </c>
      <c r="O15">
        <f t="shared" ca="1" si="7"/>
        <v>-773.3333333333162</v>
      </c>
      <c r="P15">
        <f t="shared" ca="1" si="8"/>
        <v>49.296296296295687</v>
      </c>
      <c r="Q15">
        <f t="shared" ca="1" si="9"/>
        <v>3.6666666666666514</v>
      </c>
      <c r="R15">
        <f t="shared" ca="1" si="10"/>
        <v>0.59936328097424707</v>
      </c>
      <c r="S15">
        <f t="shared" ca="1" si="11"/>
        <v>-3.6666666666666514</v>
      </c>
      <c r="T15">
        <f t="shared" ca="1" si="12"/>
        <v>0.98010872128129278</v>
      </c>
      <c r="U15">
        <f t="shared" ca="1" si="13"/>
        <v>0.34374508491765693</v>
      </c>
      <c r="V15">
        <f t="shared" ca="1" si="14"/>
        <v>2.333333333333321</v>
      </c>
      <c r="W15">
        <f t="shared" ca="1" si="15"/>
        <v>9.5207972893961053</v>
      </c>
      <c r="X15">
        <f t="shared" ca="1" si="16"/>
        <v>-2.5207972893961412</v>
      </c>
      <c r="Y15">
        <f t="shared" ca="1" si="17"/>
        <v>0</v>
      </c>
      <c r="Z15" t="e">
        <f t="shared" ca="1" si="18"/>
        <v>#NUM!</v>
      </c>
      <c r="AA15" t="e">
        <f t="shared" ca="1" si="19"/>
        <v>#NUM!</v>
      </c>
      <c r="AB15" t="e">
        <f t="shared" ca="1" si="20"/>
        <v>#NUM!</v>
      </c>
      <c r="AC15" t="e">
        <f t="shared" ca="1" si="21"/>
        <v>#NUM!</v>
      </c>
      <c r="AD15" t="e">
        <f t="shared" ca="1" si="22"/>
        <v>#NUM!</v>
      </c>
      <c r="AE15">
        <f t="shared" ca="1" si="23"/>
        <v>0</v>
      </c>
    </row>
    <row r="16" spans="1:33" x14ac:dyDescent="0.2">
      <c r="A16" s="6"/>
      <c r="B16" s="7" t="str">
        <f t="shared" si="24"/>
        <v/>
      </c>
      <c r="C16">
        <f ca="1">IF(A16&lt;1,LOOKUP(A16,Computations!$C$2:$C$100,Computations!$A$2:$A$100),n)</f>
        <v>2</v>
      </c>
      <c r="D16">
        <f t="shared" ca="1" si="0"/>
        <v>1.4999999999999999E-2</v>
      </c>
      <c r="E16">
        <f t="shared" ca="1" si="1"/>
        <v>0.03</v>
      </c>
      <c r="F16">
        <f t="shared" ca="1" si="25"/>
        <v>-1.6666666666666774E-3</v>
      </c>
      <c r="G16">
        <f t="shared" ca="1" si="26"/>
        <v>1.1666666666666679E-2</v>
      </c>
      <c r="H16">
        <f t="shared" ca="1" si="27"/>
        <v>0.04</v>
      </c>
      <c r="I16">
        <f t="shared" ca="1" si="28"/>
        <v>0</v>
      </c>
      <c r="J16">
        <f t="shared" ca="1" si="2"/>
        <v>0</v>
      </c>
      <c r="K16">
        <f t="shared" ca="1" si="3"/>
        <v>0</v>
      </c>
      <c r="L16">
        <f t="shared" ca="1" si="4"/>
        <v>0</v>
      </c>
      <c r="M16">
        <f t="shared" ca="1" si="5"/>
        <v>-40.333333333333002</v>
      </c>
      <c r="N16">
        <f t="shared" ca="1" si="6"/>
        <v>-81.407407407406353</v>
      </c>
      <c r="O16">
        <f t="shared" ca="1" si="7"/>
        <v>-773.3333333333162</v>
      </c>
      <c r="P16">
        <f t="shared" ca="1" si="8"/>
        <v>49.296296296295687</v>
      </c>
      <c r="Q16">
        <f t="shared" ca="1" si="9"/>
        <v>3.6666666666666514</v>
      </c>
      <c r="R16">
        <f t="shared" ca="1" si="10"/>
        <v>0.59936328097424707</v>
      </c>
      <c r="S16">
        <f t="shared" ca="1" si="11"/>
        <v>-3.6666666666666514</v>
      </c>
      <c r="T16">
        <f t="shared" ca="1" si="12"/>
        <v>0.98010872128129278</v>
      </c>
      <c r="U16">
        <f t="shared" ca="1" si="13"/>
        <v>0.34374508491765693</v>
      </c>
      <c r="V16">
        <f t="shared" ca="1" si="14"/>
        <v>2.333333333333321</v>
      </c>
      <c r="W16">
        <f t="shared" ca="1" si="15"/>
        <v>9.5207972893961053</v>
      </c>
      <c r="X16">
        <f t="shared" ca="1" si="16"/>
        <v>-2.5207972893961412</v>
      </c>
      <c r="Y16">
        <f t="shared" ca="1" si="17"/>
        <v>0</v>
      </c>
      <c r="Z16" t="e">
        <f t="shared" ca="1" si="18"/>
        <v>#NUM!</v>
      </c>
      <c r="AA16" t="e">
        <f t="shared" ca="1" si="19"/>
        <v>#NUM!</v>
      </c>
      <c r="AB16" t="e">
        <f t="shared" ca="1" si="20"/>
        <v>#NUM!</v>
      </c>
      <c r="AC16" t="e">
        <f t="shared" ca="1" si="21"/>
        <v>#NUM!</v>
      </c>
      <c r="AD16" t="e">
        <f t="shared" ca="1" si="22"/>
        <v>#NUM!</v>
      </c>
      <c r="AE16">
        <f t="shared" ca="1" si="23"/>
        <v>0</v>
      </c>
    </row>
    <row r="17" spans="1:31" x14ac:dyDescent="0.2">
      <c r="A17" s="6"/>
      <c r="B17" s="7" t="str">
        <f t="shared" si="24"/>
        <v/>
      </c>
      <c r="C17">
        <f ca="1">IF(A17&lt;1,LOOKUP(A17,Computations!$C$2:$C$100,Computations!$A$2:$A$100),n)</f>
        <v>2</v>
      </c>
      <c r="D17">
        <f t="shared" ca="1" si="0"/>
        <v>1.4999999999999999E-2</v>
      </c>
      <c r="E17">
        <f t="shared" ca="1" si="1"/>
        <v>0.03</v>
      </c>
      <c r="F17">
        <f t="shared" ca="1" si="25"/>
        <v>-1.6666666666666774E-3</v>
      </c>
      <c r="G17">
        <f t="shared" ca="1" si="26"/>
        <v>1.1666666666666679E-2</v>
      </c>
      <c r="H17">
        <f t="shared" ca="1" si="27"/>
        <v>0.04</v>
      </c>
      <c r="I17">
        <f t="shared" ca="1" si="28"/>
        <v>0</v>
      </c>
      <c r="J17">
        <f t="shared" ca="1" si="2"/>
        <v>0</v>
      </c>
      <c r="K17">
        <f t="shared" ca="1" si="3"/>
        <v>0</v>
      </c>
      <c r="L17">
        <f t="shared" ca="1" si="4"/>
        <v>0</v>
      </c>
      <c r="M17">
        <f t="shared" ca="1" si="5"/>
        <v>-40.333333333333002</v>
      </c>
      <c r="N17">
        <f t="shared" ca="1" si="6"/>
        <v>-81.407407407406353</v>
      </c>
      <c r="O17">
        <f t="shared" ca="1" si="7"/>
        <v>-773.3333333333162</v>
      </c>
      <c r="P17">
        <f t="shared" ca="1" si="8"/>
        <v>49.296296296295687</v>
      </c>
      <c r="Q17">
        <f t="shared" ca="1" si="9"/>
        <v>3.6666666666666514</v>
      </c>
      <c r="R17">
        <f t="shared" ca="1" si="10"/>
        <v>0.59936328097424707</v>
      </c>
      <c r="S17">
        <f t="shared" ca="1" si="11"/>
        <v>-3.6666666666666514</v>
      </c>
      <c r="T17">
        <f t="shared" ca="1" si="12"/>
        <v>0.98010872128129278</v>
      </c>
      <c r="U17">
        <f t="shared" ca="1" si="13"/>
        <v>0.34374508491765693</v>
      </c>
      <c r="V17">
        <f t="shared" ca="1" si="14"/>
        <v>2.333333333333321</v>
      </c>
      <c r="W17">
        <f t="shared" ca="1" si="15"/>
        <v>9.5207972893961053</v>
      </c>
      <c r="X17">
        <f t="shared" ca="1" si="16"/>
        <v>-2.5207972893961412</v>
      </c>
      <c r="Y17">
        <f t="shared" ca="1" si="17"/>
        <v>0</v>
      </c>
      <c r="Z17" t="e">
        <f t="shared" ca="1" si="18"/>
        <v>#NUM!</v>
      </c>
      <c r="AA17" t="e">
        <f t="shared" ca="1" si="19"/>
        <v>#NUM!</v>
      </c>
      <c r="AB17" t="e">
        <f t="shared" ca="1" si="20"/>
        <v>#NUM!</v>
      </c>
      <c r="AC17" t="e">
        <f t="shared" ca="1" si="21"/>
        <v>#NUM!</v>
      </c>
      <c r="AD17" t="e">
        <f t="shared" ca="1" si="22"/>
        <v>#NUM!</v>
      </c>
      <c r="AE17">
        <f t="shared" ca="1" si="23"/>
        <v>0</v>
      </c>
    </row>
    <row r="18" spans="1:31" x14ac:dyDescent="0.2">
      <c r="A18" s="6"/>
      <c r="B18" s="7" t="str">
        <f t="shared" si="24"/>
        <v/>
      </c>
      <c r="C18">
        <f ca="1">IF(A18&lt;1,LOOKUP(A18,Computations!$C$2:$C$100,Computations!$A$2:$A$100),n)</f>
        <v>2</v>
      </c>
      <c r="D18">
        <f t="shared" ca="1" si="0"/>
        <v>1.4999999999999999E-2</v>
      </c>
      <c r="E18">
        <f t="shared" ca="1" si="1"/>
        <v>0.03</v>
      </c>
      <c r="F18">
        <f t="shared" ca="1" si="25"/>
        <v>-1.6666666666666774E-3</v>
      </c>
      <c r="G18">
        <f t="shared" ca="1" si="26"/>
        <v>1.1666666666666679E-2</v>
      </c>
      <c r="H18">
        <f t="shared" ca="1" si="27"/>
        <v>0.04</v>
      </c>
      <c r="I18">
        <f t="shared" ca="1" si="28"/>
        <v>0</v>
      </c>
      <c r="J18">
        <f t="shared" ca="1" si="2"/>
        <v>0</v>
      </c>
      <c r="K18">
        <f t="shared" ca="1" si="3"/>
        <v>0</v>
      </c>
      <c r="L18">
        <f t="shared" ca="1" si="4"/>
        <v>0</v>
      </c>
      <c r="M18">
        <f t="shared" ca="1" si="5"/>
        <v>-40.333333333333002</v>
      </c>
      <c r="N18">
        <f t="shared" ca="1" si="6"/>
        <v>-81.407407407406353</v>
      </c>
      <c r="O18">
        <f t="shared" ca="1" si="7"/>
        <v>-773.3333333333162</v>
      </c>
      <c r="P18">
        <f t="shared" ca="1" si="8"/>
        <v>49.296296296295687</v>
      </c>
      <c r="Q18">
        <f t="shared" ca="1" si="9"/>
        <v>3.6666666666666514</v>
      </c>
      <c r="R18">
        <f t="shared" ca="1" si="10"/>
        <v>0.59936328097424707</v>
      </c>
      <c r="S18">
        <f t="shared" ca="1" si="11"/>
        <v>-3.6666666666666514</v>
      </c>
      <c r="T18">
        <f t="shared" ca="1" si="12"/>
        <v>0.98010872128129278</v>
      </c>
      <c r="U18">
        <f t="shared" ca="1" si="13"/>
        <v>0.34374508491765693</v>
      </c>
      <c r="V18">
        <f t="shared" ca="1" si="14"/>
        <v>2.333333333333321</v>
      </c>
      <c r="W18">
        <f t="shared" ca="1" si="15"/>
        <v>9.5207972893961053</v>
      </c>
      <c r="X18">
        <f t="shared" ca="1" si="16"/>
        <v>-2.5207972893961412</v>
      </c>
      <c r="Y18">
        <f t="shared" ca="1" si="17"/>
        <v>0</v>
      </c>
      <c r="Z18" t="e">
        <f t="shared" ca="1" si="18"/>
        <v>#NUM!</v>
      </c>
      <c r="AA18" t="e">
        <f t="shared" ca="1" si="19"/>
        <v>#NUM!</v>
      </c>
      <c r="AB18" t="e">
        <f t="shared" ca="1" si="20"/>
        <v>#NUM!</v>
      </c>
      <c r="AC18" t="e">
        <f t="shared" ca="1" si="21"/>
        <v>#NUM!</v>
      </c>
      <c r="AD18" t="e">
        <f t="shared" ca="1" si="22"/>
        <v>#NUM!</v>
      </c>
      <c r="AE18">
        <f t="shared" ca="1" si="23"/>
        <v>0</v>
      </c>
    </row>
    <row r="19" spans="1:31" x14ac:dyDescent="0.2">
      <c r="A19" s="6"/>
      <c r="B19" s="7" t="str">
        <f t="shared" si="24"/>
        <v/>
      </c>
      <c r="C19">
        <f ca="1">IF(A19&lt;1,LOOKUP(A19,Computations!$C$2:$C$100,Computations!$A$2:$A$100),n)</f>
        <v>2</v>
      </c>
      <c r="D19">
        <f t="shared" ca="1" si="0"/>
        <v>1.4999999999999999E-2</v>
      </c>
      <c r="E19">
        <f t="shared" ca="1" si="1"/>
        <v>0.03</v>
      </c>
      <c r="F19">
        <f t="shared" ca="1" si="25"/>
        <v>-1.6666666666666774E-3</v>
      </c>
      <c r="G19">
        <f t="shared" ca="1" si="26"/>
        <v>1.1666666666666679E-2</v>
      </c>
      <c r="H19">
        <f t="shared" ca="1" si="27"/>
        <v>0.04</v>
      </c>
      <c r="I19">
        <f t="shared" ca="1" si="28"/>
        <v>0</v>
      </c>
      <c r="J19">
        <f t="shared" ca="1" si="2"/>
        <v>0</v>
      </c>
      <c r="K19">
        <f t="shared" ca="1" si="3"/>
        <v>0</v>
      </c>
      <c r="L19">
        <f t="shared" ca="1" si="4"/>
        <v>0</v>
      </c>
      <c r="M19">
        <f t="shared" ca="1" si="5"/>
        <v>-40.333333333333002</v>
      </c>
      <c r="N19">
        <f t="shared" ca="1" si="6"/>
        <v>-81.407407407406353</v>
      </c>
      <c r="O19">
        <f t="shared" ca="1" si="7"/>
        <v>-773.3333333333162</v>
      </c>
      <c r="P19">
        <f t="shared" ca="1" si="8"/>
        <v>49.296296296295687</v>
      </c>
      <c r="Q19">
        <f t="shared" ca="1" si="9"/>
        <v>3.6666666666666514</v>
      </c>
      <c r="R19">
        <f t="shared" ca="1" si="10"/>
        <v>0.59936328097424707</v>
      </c>
      <c r="S19">
        <f t="shared" ca="1" si="11"/>
        <v>-3.6666666666666514</v>
      </c>
      <c r="T19">
        <f t="shared" ca="1" si="12"/>
        <v>0.98010872128129278</v>
      </c>
      <c r="U19">
        <f t="shared" ca="1" si="13"/>
        <v>0.34374508491765693</v>
      </c>
      <c r="V19">
        <f t="shared" ca="1" si="14"/>
        <v>2.333333333333321</v>
      </c>
      <c r="W19">
        <f t="shared" ca="1" si="15"/>
        <v>9.5207972893961053</v>
      </c>
      <c r="X19">
        <f t="shared" ca="1" si="16"/>
        <v>-2.5207972893961412</v>
      </c>
      <c r="Y19">
        <f t="shared" ca="1" si="17"/>
        <v>0</v>
      </c>
      <c r="Z19" t="e">
        <f t="shared" ca="1" si="18"/>
        <v>#NUM!</v>
      </c>
      <c r="AA19" t="e">
        <f t="shared" ca="1" si="19"/>
        <v>#NUM!</v>
      </c>
      <c r="AB19" t="e">
        <f t="shared" ca="1" si="20"/>
        <v>#NUM!</v>
      </c>
      <c r="AC19" t="e">
        <f t="shared" ca="1" si="21"/>
        <v>#NUM!</v>
      </c>
      <c r="AD19" t="e">
        <f t="shared" ca="1" si="22"/>
        <v>#NUM!</v>
      </c>
      <c r="AE19">
        <f t="shared" ca="1" si="23"/>
        <v>0</v>
      </c>
    </row>
    <row r="20" spans="1:31" x14ac:dyDescent="0.2">
      <c r="A20" s="6"/>
      <c r="B20" s="7" t="str">
        <f t="shared" si="24"/>
        <v/>
      </c>
      <c r="C20">
        <f ca="1">IF(A20&lt;1,LOOKUP(A20,Computations!$C$2:$C$100,Computations!$A$2:$A$100),n)</f>
        <v>2</v>
      </c>
      <c r="D20">
        <f t="shared" ca="1" si="0"/>
        <v>1.4999999999999999E-2</v>
      </c>
      <c r="E20">
        <f t="shared" ca="1" si="1"/>
        <v>0.03</v>
      </c>
      <c r="F20">
        <f t="shared" ca="1" si="25"/>
        <v>-1.6666666666666774E-3</v>
      </c>
      <c r="G20">
        <f t="shared" ca="1" si="26"/>
        <v>1.1666666666666679E-2</v>
      </c>
      <c r="H20">
        <f t="shared" ca="1" si="27"/>
        <v>0.04</v>
      </c>
      <c r="I20">
        <f t="shared" ca="1" si="28"/>
        <v>0</v>
      </c>
      <c r="J20">
        <f t="shared" ca="1" si="2"/>
        <v>0</v>
      </c>
      <c r="K20">
        <f t="shared" ca="1" si="3"/>
        <v>0</v>
      </c>
      <c r="L20">
        <f t="shared" ca="1" si="4"/>
        <v>0</v>
      </c>
      <c r="M20">
        <f t="shared" ca="1" si="5"/>
        <v>-40.333333333333002</v>
      </c>
      <c r="N20">
        <f t="shared" ca="1" si="6"/>
        <v>-81.407407407406353</v>
      </c>
      <c r="O20">
        <f t="shared" ca="1" si="7"/>
        <v>-773.3333333333162</v>
      </c>
      <c r="P20">
        <f t="shared" ca="1" si="8"/>
        <v>49.296296296295687</v>
      </c>
      <c r="Q20">
        <f t="shared" ca="1" si="9"/>
        <v>3.6666666666666514</v>
      </c>
      <c r="R20">
        <f t="shared" ca="1" si="10"/>
        <v>0.59936328097424707</v>
      </c>
      <c r="S20">
        <f t="shared" ca="1" si="11"/>
        <v>-3.6666666666666514</v>
      </c>
      <c r="T20">
        <f t="shared" ca="1" si="12"/>
        <v>0.98010872128129278</v>
      </c>
      <c r="U20">
        <f t="shared" ca="1" si="13"/>
        <v>0.34374508491765693</v>
      </c>
      <c r="V20">
        <f t="shared" ca="1" si="14"/>
        <v>2.333333333333321</v>
      </c>
      <c r="W20">
        <f t="shared" ca="1" si="15"/>
        <v>9.5207972893961053</v>
      </c>
      <c r="X20">
        <f t="shared" ca="1" si="16"/>
        <v>-2.5207972893961412</v>
      </c>
      <c r="Y20">
        <f t="shared" ca="1" si="17"/>
        <v>0</v>
      </c>
      <c r="Z20" t="e">
        <f t="shared" ca="1" si="18"/>
        <v>#NUM!</v>
      </c>
      <c r="AA20" t="e">
        <f t="shared" ca="1" si="19"/>
        <v>#NUM!</v>
      </c>
      <c r="AB20" t="e">
        <f t="shared" ca="1" si="20"/>
        <v>#NUM!</v>
      </c>
      <c r="AC20" t="e">
        <f t="shared" ca="1" si="21"/>
        <v>#NUM!</v>
      </c>
      <c r="AD20" t="e">
        <f t="shared" ca="1" si="22"/>
        <v>#NUM!</v>
      </c>
      <c r="AE20">
        <f t="shared" ca="1" si="23"/>
        <v>0</v>
      </c>
    </row>
    <row r="21" spans="1:31" x14ac:dyDescent="0.2">
      <c r="A21" s="6"/>
      <c r="B21" s="7" t="str">
        <f t="shared" si="24"/>
        <v/>
      </c>
      <c r="C21">
        <f ca="1">IF(A21&lt;1,LOOKUP(A21,Computations!$C$2:$C$100,Computations!$A$2:$A$100),n)</f>
        <v>2</v>
      </c>
      <c r="D21">
        <f t="shared" ca="1" si="0"/>
        <v>1.4999999999999999E-2</v>
      </c>
      <c r="E21">
        <f t="shared" ca="1" si="1"/>
        <v>0.03</v>
      </c>
      <c r="F21">
        <f t="shared" ca="1" si="25"/>
        <v>-1.6666666666666774E-3</v>
      </c>
      <c r="G21">
        <f t="shared" ca="1" si="26"/>
        <v>1.1666666666666679E-2</v>
      </c>
      <c r="H21">
        <f t="shared" ca="1" si="27"/>
        <v>0.04</v>
      </c>
      <c r="I21">
        <f t="shared" ca="1" si="28"/>
        <v>0</v>
      </c>
      <c r="J21">
        <f t="shared" ca="1" si="2"/>
        <v>0</v>
      </c>
      <c r="K21">
        <f t="shared" ca="1" si="3"/>
        <v>0</v>
      </c>
      <c r="L21">
        <f t="shared" ca="1" si="4"/>
        <v>0</v>
      </c>
      <c r="M21">
        <f t="shared" ca="1" si="5"/>
        <v>-40.333333333333002</v>
      </c>
      <c r="N21">
        <f t="shared" ca="1" si="6"/>
        <v>-81.407407407406353</v>
      </c>
      <c r="O21">
        <f t="shared" ca="1" si="7"/>
        <v>-773.3333333333162</v>
      </c>
      <c r="P21">
        <f t="shared" ca="1" si="8"/>
        <v>49.296296296295687</v>
      </c>
      <c r="Q21">
        <f t="shared" ca="1" si="9"/>
        <v>3.6666666666666514</v>
      </c>
      <c r="R21">
        <f t="shared" ca="1" si="10"/>
        <v>0.59936328097424707</v>
      </c>
      <c r="S21">
        <f t="shared" ca="1" si="11"/>
        <v>-3.6666666666666514</v>
      </c>
      <c r="T21">
        <f t="shared" ca="1" si="12"/>
        <v>0.98010872128129278</v>
      </c>
      <c r="U21">
        <f t="shared" ca="1" si="13"/>
        <v>0.34374508491765693</v>
      </c>
      <c r="V21">
        <f t="shared" ca="1" si="14"/>
        <v>2.333333333333321</v>
      </c>
      <c r="W21">
        <f t="shared" ca="1" si="15"/>
        <v>9.5207972893961053</v>
      </c>
      <c r="X21">
        <f t="shared" ca="1" si="16"/>
        <v>-2.5207972893961412</v>
      </c>
      <c r="Y21">
        <f t="shared" ca="1" si="17"/>
        <v>0</v>
      </c>
      <c r="Z21" t="e">
        <f t="shared" ca="1" si="18"/>
        <v>#NUM!</v>
      </c>
      <c r="AA21" t="e">
        <f t="shared" ca="1" si="19"/>
        <v>#NUM!</v>
      </c>
      <c r="AB21" t="e">
        <f t="shared" ca="1" si="20"/>
        <v>#NUM!</v>
      </c>
      <c r="AC21" t="e">
        <f t="shared" ca="1" si="21"/>
        <v>#NUM!</v>
      </c>
      <c r="AD21" t="e">
        <f t="shared" ca="1" si="22"/>
        <v>#NUM!</v>
      </c>
      <c r="AE21">
        <f t="shared" ca="1" si="23"/>
        <v>0</v>
      </c>
    </row>
    <row r="22" spans="1:31" x14ac:dyDescent="0.2">
      <c r="A22" s="6"/>
      <c r="B22" s="7" t="str">
        <f t="shared" si="24"/>
        <v/>
      </c>
      <c r="C22">
        <f ca="1">IF(A22&lt;1,LOOKUP(A22,Computations!$C$2:$C$100,Computations!$A$2:$A$100),n)</f>
        <v>2</v>
      </c>
      <c r="D22">
        <f t="shared" ca="1" si="0"/>
        <v>1.4999999999999999E-2</v>
      </c>
      <c r="E22">
        <f t="shared" ca="1" si="1"/>
        <v>0.03</v>
      </c>
      <c r="F22">
        <f t="shared" ca="1" si="25"/>
        <v>-1.6666666666666774E-3</v>
      </c>
      <c r="G22">
        <f t="shared" ca="1" si="26"/>
        <v>1.1666666666666679E-2</v>
      </c>
      <c r="H22">
        <f t="shared" ca="1" si="27"/>
        <v>0.04</v>
      </c>
      <c r="I22">
        <f t="shared" ca="1" si="28"/>
        <v>0</v>
      </c>
      <c r="J22">
        <f t="shared" ca="1" si="2"/>
        <v>0</v>
      </c>
      <c r="K22">
        <f t="shared" ca="1" si="3"/>
        <v>0</v>
      </c>
      <c r="L22">
        <f t="shared" ca="1" si="4"/>
        <v>0</v>
      </c>
      <c r="M22">
        <f t="shared" ca="1" si="5"/>
        <v>-40.333333333333002</v>
      </c>
      <c r="N22">
        <f t="shared" ca="1" si="6"/>
        <v>-81.407407407406353</v>
      </c>
      <c r="O22">
        <f t="shared" ca="1" si="7"/>
        <v>-773.3333333333162</v>
      </c>
      <c r="P22">
        <f t="shared" ca="1" si="8"/>
        <v>49.296296296295687</v>
      </c>
      <c r="Q22">
        <f t="shared" ca="1" si="9"/>
        <v>3.6666666666666514</v>
      </c>
      <c r="R22">
        <f t="shared" ca="1" si="10"/>
        <v>0.59936328097424707</v>
      </c>
      <c r="S22">
        <f t="shared" ca="1" si="11"/>
        <v>-3.6666666666666514</v>
      </c>
      <c r="T22">
        <f t="shared" ca="1" si="12"/>
        <v>0.98010872128129278</v>
      </c>
      <c r="U22">
        <f t="shared" ca="1" si="13"/>
        <v>0.34374508491765693</v>
      </c>
      <c r="V22">
        <f t="shared" ca="1" si="14"/>
        <v>2.333333333333321</v>
      </c>
      <c r="W22">
        <f t="shared" ca="1" si="15"/>
        <v>9.5207972893961053</v>
      </c>
      <c r="X22">
        <f t="shared" ca="1" si="16"/>
        <v>-2.5207972893961412</v>
      </c>
      <c r="Y22">
        <f t="shared" ca="1" si="17"/>
        <v>0</v>
      </c>
      <c r="Z22" t="e">
        <f t="shared" ca="1" si="18"/>
        <v>#NUM!</v>
      </c>
      <c r="AA22" t="e">
        <f t="shared" ca="1" si="19"/>
        <v>#NUM!</v>
      </c>
      <c r="AB22" t="e">
        <f t="shared" ca="1" si="20"/>
        <v>#NUM!</v>
      </c>
      <c r="AC22" t="e">
        <f t="shared" ca="1" si="21"/>
        <v>#NUM!</v>
      </c>
      <c r="AD22" t="e">
        <f t="shared" ca="1" si="22"/>
        <v>#NUM!</v>
      </c>
      <c r="AE22">
        <f t="shared" ca="1" si="23"/>
        <v>0</v>
      </c>
    </row>
    <row r="23" spans="1:31" x14ac:dyDescent="0.2">
      <c r="A23" s="6"/>
      <c r="B23" s="7" t="str">
        <f t="shared" si="24"/>
        <v/>
      </c>
      <c r="C23">
        <f ca="1">IF(A23&lt;1,LOOKUP(A23,Computations!$C$2:$C$100,Computations!$A$2:$A$100),n)</f>
        <v>2</v>
      </c>
      <c r="D23">
        <f t="shared" ca="1" si="0"/>
        <v>1.4999999999999999E-2</v>
      </c>
      <c r="E23">
        <f t="shared" ca="1" si="1"/>
        <v>0.03</v>
      </c>
      <c r="F23">
        <f t="shared" ca="1" si="25"/>
        <v>-1.6666666666666774E-3</v>
      </c>
      <c r="G23">
        <f t="shared" ca="1" si="26"/>
        <v>1.1666666666666679E-2</v>
      </c>
      <c r="H23">
        <f t="shared" ca="1" si="27"/>
        <v>0.04</v>
      </c>
      <c r="I23">
        <f t="shared" ca="1" si="28"/>
        <v>0</v>
      </c>
      <c r="J23">
        <f t="shared" ca="1" si="2"/>
        <v>0</v>
      </c>
      <c r="K23">
        <f t="shared" ca="1" si="3"/>
        <v>0</v>
      </c>
      <c r="L23">
        <f t="shared" ca="1" si="4"/>
        <v>0</v>
      </c>
      <c r="M23">
        <f t="shared" ca="1" si="5"/>
        <v>-40.333333333333002</v>
      </c>
      <c r="N23">
        <f t="shared" ca="1" si="6"/>
        <v>-81.407407407406353</v>
      </c>
      <c r="O23">
        <f t="shared" ca="1" si="7"/>
        <v>-773.3333333333162</v>
      </c>
      <c r="P23">
        <f t="shared" ca="1" si="8"/>
        <v>49.296296296295687</v>
      </c>
      <c r="Q23">
        <f t="shared" ca="1" si="9"/>
        <v>3.6666666666666514</v>
      </c>
      <c r="R23">
        <f t="shared" ca="1" si="10"/>
        <v>0.59936328097424707</v>
      </c>
      <c r="S23">
        <f t="shared" ca="1" si="11"/>
        <v>-3.6666666666666514</v>
      </c>
      <c r="T23">
        <f t="shared" ca="1" si="12"/>
        <v>0.98010872128129278</v>
      </c>
      <c r="U23">
        <f t="shared" ca="1" si="13"/>
        <v>0.34374508491765693</v>
      </c>
      <c r="V23">
        <f t="shared" ca="1" si="14"/>
        <v>2.333333333333321</v>
      </c>
      <c r="W23">
        <f t="shared" ca="1" si="15"/>
        <v>9.5207972893961053</v>
      </c>
      <c r="X23">
        <f t="shared" ca="1" si="16"/>
        <v>-2.5207972893961412</v>
      </c>
      <c r="Y23">
        <f t="shared" ca="1" si="17"/>
        <v>0</v>
      </c>
      <c r="Z23" t="e">
        <f t="shared" ca="1" si="18"/>
        <v>#NUM!</v>
      </c>
      <c r="AA23" t="e">
        <f t="shared" ca="1" si="19"/>
        <v>#NUM!</v>
      </c>
      <c r="AB23" t="e">
        <f t="shared" ca="1" si="20"/>
        <v>#NUM!</v>
      </c>
      <c r="AC23" t="e">
        <f t="shared" ca="1" si="21"/>
        <v>#NUM!</v>
      </c>
      <c r="AD23" t="e">
        <f t="shared" ca="1" si="22"/>
        <v>#NUM!</v>
      </c>
      <c r="AE23">
        <f t="shared" ca="1" si="23"/>
        <v>0</v>
      </c>
    </row>
    <row r="24" spans="1:31" x14ac:dyDescent="0.2">
      <c r="A24" s="6"/>
      <c r="B24" s="7" t="str">
        <f t="shared" si="24"/>
        <v/>
      </c>
      <c r="C24">
        <f ca="1">IF(A24&lt;1,LOOKUP(A24,Computations!$C$2:$C$100,Computations!$A$2:$A$100),n)</f>
        <v>2</v>
      </c>
      <c r="D24">
        <f t="shared" ca="1" si="0"/>
        <v>1.4999999999999999E-2</v>
      </c>
      <c r="E24">
        <f t="shared" ca="1" si="1"/>
        <v>0.03</v>
      </c>
      <c r="F24">
        <f t="shared" ca="1" si="25"/>
        <v>-1.6666666666666774E-3</v>
      </c>
      <c r="G24">
        <f t="shared" ca="1" si="26"/>
        <v>1.1666666666666679E-2</v>
      </c>
      <c r="H24">
        <f t="shared" ca="1" si="27"/>
        <v>0.04</v>
      </c>
      <c r="I24">
        <f t="shared" ca="1" si="28"/>
        <v>0</v>
      </c>
      <c r="J24">
        <f t="shared" ca="1" si="2"/>
        <v>0</v>
      </c>
      <c r="K24">
        <f t="shared" ca="1" si="3"/>
        <v>0</v>
      </c>
      <c r="L24">
        <f t="shared" ca="1" si="4"/>
        <v>0</v>
      </c>
      <c r="M24">
        <f t="shared" ca="1" si="5"/>
        <v>-40.333333333333002</v>
      </c>
      <c r="N24">
        <f t="shared" ca="1" si="6"/>
        <v>-81.407407407406353</v>
      </c>
      <c r="O24">
        <f t="shared" ca="1" si="7"/>
        <v>-773.3333333333162</v>
      </c>
      <c r="P24">
        <f t="shared" ca="1" si="8"/>
        <v>49.296296296295687</v>
      </c>
      <c r="Q24">
        <f t="shared" ca="1" si="9"/>
        <v>3.6666666666666514</v>
      </c>
      <c r="R24">
        <f t="shared" ca="1" si="10"/>
        <v>0.59936328097424707</v>
      </c>
      <c r="S24">
        <f t="shared" ca="1" si="11"/>
        <v>-3.6666666666666514</v>
      </c>
      <c r="T24">
        <f t="shared" ca="1" si="12"/>
        <v>0.98010872128129278</v>
      </c>
      <c r="U24">
        <f t="shared" ca="1" si="13"/>
        <v>0.34374508491765693</v>
      </c>
      <c r="V24">
        <f t="shared" ca="1" si="14"/>
        <v>2.333333333333321</v>
      </c>
      <c r="W24">
        <f t="shared" ca="1" si="15"/>
        <v>9.5207972893961053</v>
      </c>
      <c r="X24">
        <f t="shared" ca="1" si="16"/>
        <v>-2.5207972893961412</v>
      </c>
      <c r="Y24">
        <f t="shared" ca="1" si="17"/>
        <v>0</v>
      </c>
      <c r="Z24" t="e">
        <f t="shared" ca="1" si="18"/>
        <v>#NUM!</v>
      </c>
      <c r="AA24" t="e">
        <f t="shared" ca="1" si="19"/>
        <v>#NUM!</v>
      </c>
      <c r="AB24" t="e">
        <f t="shared" ca="1" si="20"/>
        <v>#NUM!</v>
      </c>
      <c r="AC24" t="e">
        <f t="shared" ca="1" si="21"/>
        <v>#NUM!</v>
      </c>
      <c r="AD24" t="e">
        <f t="shared" ca="1" si="22"/>
        <v>#NUM!</v>
      </c>
      <c r="AE24">
        <f t="shared" ca="1" si="23"/>
        <v>0</v>
      </c>
    </row>
    <row r="25" spans="1:31" x14ac:dyDescent="0.2">
      <c r="A25" s="6"/>
      <c r="B25" s="7" t="str">
        <f t="shared" si="24"/>
        <v/>
      </c>
      <c r="C25">
        <f ca="1">IF(A25&lt;1,LOOKUP(A25,Computations!$C$2:$C$100,Computations!$A$2:$A$100),n)</f>
        <v>2</v>
      </c>
      <c r="D25">
        <f t="shared" ca="1" si="0"/>
        <v>1.4999999999999999E-2</v>
      </c>
      <c r="E25">
        <f t="shared" ca="1" si="1"/>
        <v>0.03</v>
      </c>
      <c r="F25">
        <f t="shared" ca="1" si="25"/>
        <v>-1.6666666666666774E-3</v>
      </c>
      <c r="G25">
        <f t="shared" ca="1" si="26"/>
        <v>1.1666666666666679E-2</v>
      </c>
      <c r="H25">
        <f t="shared" ca="1" si="27"/>
        <v>0.04</v>
      </c>
      <c r="I25">
        <f t="shared" ca="1" si="28"/>
        <v>0</v>
      </c>
      <c r="J25">
        <f t="shared" ca="1" si="2"/>
        <v>0</v>
      </c>
      <c r="K25">
        <f t="shared" ca="1" si="3"/>
        <v>0</v>
      </c>
      <c r="L25">
        <f t="shared" ca="1" si="4"/>
        <v>0</v>
      </c>
      <c r="M25">
        <f t="shared" ca="1" si="5"/>
        <v>-40.333333333333002</v>
      </c>
      <c r="N25">
        <f t="shared" ca="1" si="6"/>
        <v>-81.407407407406353</v>
      </c>
      <c r="O25">
        <f t="shared" ca="1" si="7"/>
        <v>-773.3333333333162</v>
      </c>
      <c r="P25">
        <f t="shared" ca="1" si="8"/>
        <v>49.296296296295687</v>
      </c>
      <c r="Q25">
        <f t="shared" ca="1" si="9"/>
        <v>3.6666666666666514</v>
      </c>
      <c r="R25">
        <f t="shared" ca="1" si="10"/>
        <v>0.59936328097424707</v>
      </c>
      <c r="S25">
        <f t="shared" ca="1" si="11"/>
        <v>-3.6666666666666514</v>
      </c>
      <c r="T25">
        <f t="shared" ca="1" si="12"/>
        <v>0.98010872128129278</v>
      </c>
      <c r="U25">
        <f t="shared" ca="1" si="13"/>
        <v>0.34374508491765693</v>
      </c>
      <c r="V25">
        <f t="shared" ca="1" si="14"/>
        <v>2.333333333333321</v>
      </c>
      <c r="W25">
        <f t="shared" ca="1" si="15"/>
        <v>9.5207972893961053</v>
      </c>
      <c r="X25">
        <f t="shared" ca="1" si="16"/>
        <v>-2.5207972893961412</v>
      </c>
      <c r="Y25">
        <f t="shared" ca="1" si="17"/>
        <v>0</v>
      </c>
      <c r="Z25" t="e">
        <f t="shared" ca="1" si="18"/>
        <v>#NUM!</v>
      </c>
      <c r="AA25" t="e">
        <f t="shared" ca="1" si="19"/>
        <v>#NUM!</v>
      </c>
      <c r="AB25" t="e">
        <f t="shared" ca="1" si="20"/>
        <v>#NUM!</v>
      </c>
      <c r="AC25" t="e">
        <f t="shared" ca="1" si="21"/>
        <v>#NUM!</v>
      </c>
      <c r="AD25" t="e">
        <f t="shared" ca="1" si="22"/>
        <v>#NUM!</v>
      </c>
      <c r="AE25">
        <f t="shared" ca="1" si="23"/>
        <v>0</v>
      </c>
    </row>
    <row r="26" spans="1:31" x14ac:dyDescent="0.2">
      <c r="A26" s="6"/>
      <c r="B26" s="7" t="str">
        <f t="shared" si="24"/>
        <v/>
      </c>
      <c r="C26">
        <f ca="1">IF(A26&lt;1,LOOKUP(A26,Computations!$C$2:$C$100,Computations!$A$2:$A$100),n)</f>
        <v>2</v>
      </c>
      <c r="D26">
        <f t="shared" ca="1" si="0"/>
        <v>1.4999999999999999E-2</v>
      </c>
      <c r="E26">
        <f t="shared" ca="1" si="1"/>
        <v>0.03</v>
      </c>
      <c r="F26">
        <f t="shared" ca="1" si="25"/>
        <v>-1.6666666666666774E-3</v>
      </c>
      <c r="G26">
        <f t="shared" ca="1" si="26"/>
        <v>1.1666666666666679E-2</v>
      </c>
      <c r="H26">
        <f t="shared" ca="1" si="27"/>
        <v>0.04</v>
      </c>
      <c r="I26">
        <f t="shared" ca="1" si="28"/>
        <v>0</v>
      </c>
      <c r="J26">
        <f t="shared" ca="1" si="2"/>
        <v>0</v>
      </c>
      <c r="K26">
        <f t="shared" ca="1" si="3"/>
        <v>0</v>
      </c>
      <c r="L26">
        <f t="shared" ca="1" si="4"/>
        <v>0</v>
      </c>
      <c r="M26">
        <f t="shared" ca="1" si="5"/>
        <v>-40.333333333333002</v>
      </c>
      <c r="N26">
        <f t="shared" ca="1" si="6"/>
        <v>-81.407407407406353</v>
      </c>
      <c r="O26">
        <f t="shared" ca="1" si="7"/>
        <v>-773.3333333333162</v>
      </c>
      <c r="P26">
        <f t="shared" ca="1" si="8"/>
        <v>49.296296296295687</v>
      </c>
      <c r="Q26">
        <f t="shared" ca="1" si="9"/>
        <v>3.6666666666666514</v>
      </c>
      <c r="R26">
        <f t="shared" ca="1" si="10"/>
        <v>0.59936328097424707</v>
      </c>
      <c r="S26">
        <f t="shared" ca="1" si="11"/>
        <v>-3.6666666666666514</v>
      </c>
      <c r="T26">
        <f t="shared" ca="1" si="12"/>
        <v>0.98010872128129278</v>
      </c>
      <c r="U26">
        <f t="shared" ca="1" si="13"/>
        <v>0.34374508491765693</v>
      </c>
      <c r="V26">
        <f t="shared" ca="1" si="14"/>
        <v>2.333333333333321</v>
      </c>
      <c r="W26">
        <f t="shared" ca="1" si="15"/>
        <v>9.5207972893961053</v>
      </c>
      <c r="X26">
        <f t="shared" ca="1" si="16"/>
        <v>-2.5207972893961412</v>
      </c>
      <c r="Y26">
        <f t="shared" ca="1" si="17"/>
        <v>0</v>
      </c>
      <c r="Z26" t="e">
        <f t="shared" ca="1" si="18"/>
        <v>#NUM!</v>
      </c>
      <c r="AA26" t="e">
        <f t="shared" ca="1" si="19"/>
        <v>#NUM!</v>
      </c>
      <c r="AB26" t="e">
        <f t="shared" ca="1" si="20"/>
        <v>#NUM!</v>
      </c>
      <c r="AC26" t="e">
        <f t="shared" ca="1" si="21"/>
        <v>#NUM!</v>
      </c>
      <c r="AD26" t="e">
        <f t="shared" ca="1" si="22"/>
        <v>#NUM!</v>
      </c>
      <c r="AE26">
        <f t="shared" ca="1" si="23"/>
        <v>0</v>
      </c>
    </row>
    <row r="27" spans="1:31" x14ac:dyDescent="0.2">
      <c r="A27" s="6"/>
      <c r="B27" s="7" t="str">
        <f t="shared" si="24"/>
        <v/>
      </c>
      <c r="C27">
        <f ca="1">IF(A27&lt;1,LOOKUP(A27,Computations!$C$2:$C$100,Computations!$A$2:$A$100),n)</f>
        <v>2</v>
      </c>
      <c r="D27">
        <f t="shared" ca="1" si="0"/>
        <v>1.4999999999999999E-2</v>
      </c>
      <c r="E27">
        <f t="shared" ca="1" si="1"/>
        <v>0.03</v>
      </c>
      <c r="F27">
        <f t="shared" ca="1" si="25"/>
        <v>-1.6666666666666774E-3</v>
      </c>
      <c r="G27">
        <f t="shared" ca="1" si="26"/>
        <v>1.1666666666666679E-2</v>
      </c>
      <c r="H27">
        <f t="shared" ca="1" si="27"/>
        <v>0.04</v>
      </c>
      <c r="I27">
        <f t="shared" ca="1" si="28"/>
        <v>0</v>
      </c>
      <c r="J27">
        <f t="shared" ca="1" si="2"/>
        <v>0</v>
      </c>
      <c r="K27">
        <f t="shared" ca="1" si="3"/>
        <v>0</v>
      </c>
      <c r="L27">
        <f t="shared" ca="1" si="4"/>
        <v>0</v>
      </c>
      <c r="M27">
        <f t="shared" ca="1" si="5"/>
        <v>-40.333333333333002</v>
      </c>
      <c r="N27">
        <f t="shared" ca="1" si="6"/>
        <v>-81.407407407406353</v>
      </c>
      <c r="O27">
        <f t="shared" ca="1" si="7"/>
        <v>-773.3333333333162</v>
      </c>
      <c r="P27">
        <f t="shared" ca="1" si="8"/>
        <v>49.296296296295687</v>
      </c>
      <c r="Q27">
        <f t="shared" ca="1" si="9"/>
        <v>3.6666666666666514</v>
      </c>
      <c r="R27">
        <f t="shared" ca="1" si="10"/>
        <v>0.59936328097424707</v>
      </c>
      <c r="S27">
        <f t="shared" ca="1" si="11"/>
        <v>-3.6666666666666514</v>
      </c>
      <c r="T27">
        <f t="shared" ca="1" si="12"/>
        <v>0.98010872128129278</v>
      </c>
      <c r="U27">
        <f t="shared" ca="1" si="13"/>
        <v>0.34374508491765693</v>
      </c>
      <c r="V27">
        <f t="shared" ca="1" si="14"/>
        <v>2.333333333333321</v>
      </c>
      <c r="W27">
        <f t="shared" ca="1" si="15"/>
        <v>9.5207972893961053</v>
      </c>
      <c r="X27">
        <f t="shared" ca="1" si="16"/>
        <v>-2.5207972893961412</v>
      </c>
      <c r="Y27">
        <f t="shared" ca="1" si="17"/>
        <v>0</v>
      </c>
      <c r="Z27" t="e">
        <f t="shared" ca="1" si="18"/>
        <v>#NUM!</v>
      </c>
      <c r="AA27" t="e">
        <f t="shared" ca="1" si="19"/>
        <v>#NUM!</v>
      </c>
      <c r="AB27" t="e">
        <f t="shared" ca="1" si="20"/>
        <v>#NUM!</v>
      </c>
      <c r="AC27" t="e">
        <f t="shared" ca="1" si="21"/>
        <v>#NUM!</v>
      </c>
      <c r="AD27" t="e">
        <f t="shared" ca="1" si="22"/>
        <v>#NUM!</v>
      </c>
      <c r="AE27">
        <f t="shared" ca="1" si="23"/>
        <v>0</v>
      </c>
    </row>
    <row r="28" spans="1:31" x14ac:dyDescent="0.2">
      <c r="A28" s="6"/>
      <c r="B28" s="7" t="str">
        <f t="shared" si="24"/>
        <v/>
      </c>
      <c r="C28">
        <f ca="1">IF(A28&lt;1,LOOKUP(A28,Computations!$C$2:$C$100,Computations!$A$2:$A$100),n)</f>
        <v>2</v>
      </c>
      <c r="D28">
        <f t="shared" ca="1" si="0"/>
        <v>1.4999999999999999E-2</v>
      </c>
      <c r="E28">
        <f t="shared" ca="1" si="1"/>
        <v>0.03</v>
      </c>
      <c r="F28">
        <f t="shared" ca="1" si="25"/>
        <v>-1.6666666666666774E-3</v>
      </c>
      <c r="G28">
        <f t="shared" ca="1" si="26"/>
        <v>1.1666666666666679E-2</v>
      </c>
      <c r="H28">
        <f t="shared" ca="1" si="27"/>
        <v>0.04</v>
      </c>
      <c r="I28">
        <f t="shared" ca="1" si="28"/>
        <v>0</v>
      </c>
      <c r="J28">
        <f t="shared" ca="1" si="2"/>
        <v>0</v>
      </c>
      <c r="K28">
        <f t="shared" ca="1" si="3"/>
        <v>0</v>
      </c>
      <c r="L28">
        <f t="shared" ca="1" si="4"/>
        <v>0</v>
      </c>
      <c r="M28">
        <f t="shared" ca="1" si="5"/>
        <v>-40.333333333333002</v>
      </c>
      <c r="N28">
        <f t="shared" ca="1" si="6"/>
        <v>-81.407407407406353</v>
      </c>
      <c r="O28">
        <f t="shared" ca="1" si="7"/>
        <v>-773.3333333333162</v>
      </c>
      <c r="P28">
        <f t="shared" ca="1" si="8"/>
        <v>49.296296296295687</v>
      </c>
      <c r="Q28">
        <f t="shared" ca="1" si="9"/>
        <v>3.6666666666666514</v>
      </c>
      <c r="R28">
        <f t="shared" ca="1" si="10"/>
        <v>0.59936328097424707</v>
      </c>
      <c r="S28">
        <f t="shared" ca="1" si="11"/>
        <v>-3.6666666666666514</v>
      </c>
      <c r="T28">
        <f t="shared" ca="1" si="12"/>
        <v>0.98010872128129278</v>
      </c>
      <c r="U28">
        <f t="shared" ca="1" si="13"/>
        <v>0.34374508491765693</v>
      </c>
      <c r="V28">
        <f t="shared" ca="1" si="14"/>
        <v>2.333333333333321</v>
      </c>
      <c r="W28">
        <f t="shared" ca="1" si="15"/>
        <v>9.5207972893961053</v>
      </c>
      <c r="X28">
        <f t="shared" ca="1" si="16"/>
        <v>-2.5207972893961412</v>
      </c>
      <c r="Y28">
        <f t="shared" ca="1" si="17"/>
        <v>0</v>
      </c>
      <c r="Z28" t="e">
        <f t="shared" ca="1" si="18"/>
        <v>#NUM!</v>
      </c>
      <c r="AA28" t="e">
        <f t="shared" ca="1" si="19"/>
        <v>#NUM!</v>
      </c>
      <c r="AB28" t="e">
        <f t="shared" ca="1" si="20"/>
        <v>#NUM!</v>
      </c>
      <c r="AC28" t="e">
        <f t="shared" ca="1" si="21"/>
        <v>#NUM!</v>
      </c>
      <c r="AD28" t="e">
        <f t="shared" ca="1" si="22"/>
        <v>#NUM!</v>
      </c>
      <c r="AE28">
        <f t="shared" ca="1" si="23"/>
        <v>0</v>
      </c>
    </row>
    <row r="29" spans="1:31" x14ac:dyDescent="0.2">
      <c r="A29" s="6"/>
      <c r="B29" s="7" t="str">
        <f t="shared" si="24"/>
        <v/>
      </c>
      <c r="C29">
        <f ca="1">IF(A29&lt;1,LOOKUP(A29,Computations!$C$2:$C$100,Computations!$A$2:$A$100),n)</f>
        <v>2</v>
      </c>
      <c r="D29">
        <f t="shared" ca="1" si="0"/>
        <v>1.4999999999999999E-2</v>
      </c>
      <c r="E29">
        <f t="shared" ca="1" si="1"/>
        <v>0.03</v>
      </c>
      <c r="F29">
        <f t="shared" ca="1" si="25"/>
        <v>-1.6666666666666774E-3</v>
      </c>
      <c r="G29">
        <f t="shared" ca="1" si="26"/>
        <v>1.1666666666666679E-2</v>
      </c>
      <c r="H29">
        <f t="shared" ca="1" si="27"/>
        <v>0.04</v>
      </c>
      <c r="I29">
        <f t="shared" ca="1" si="28"/>
        <v>0</v>
      </c>
      <c r="J29">
        <f t="shared" ca="1" si="2"/>
        <v>0</v>
      </c>
      <c r="K29">
        <f t="shared" ca="1" si="3"/>
        <v>0</v>
      </c>
      <c r="L29">
        <f t="shared" ca="1" si="4"/>
        <v>0</v>
      </c>
      <c r="M29">
        <f t="shared" ca="1" si="5"/>
        <v>-40.333333333333002</v>
      </c>
      <c r="N29">
        <f t="shared" ca="1" si="6"/>
        <v>-81.407407407406353</v>
      </c>
      <c r="O29">
        <f t="shared" ca="1" si="7"/>
        <v>-773.3333333333162</v>
      </c>
      <c r="P29">
        <f t="shared" ca="1" si="8"/>
        <v>49.296296296295687</v>
      </c>
      <c r="Q29">
        <f t="shared" ca="1" si="9"/>
        <v>3.6666666666666514</v>
      </c>
      <c r="R29">
        <f t="shared" ca="1" si="10"/>
        <v>0.59936328097424707</v>
      </c>
      <c r="S29">
        <f t="shared" ca="1" si="11"/>
        <v>-3.6666666666666514</v>
      </c>
      <c r="T29">
        <f t="shared" ca="1" si="12"/>
        <v>0.98010872128129278</v>
      </c>
      <c r="U29">
        <f t="shared" ca="1" si="13"/>
        <v>0.34374508491765693</v>
      </c>
      <c r="V29">
        <f t="shared" ca="1" si="14"/>
        <v>2.333333333333321</v>
      </c>
      <c r="W29">
        <f t="shared" ca="1" si="15"/>
        <v>9.5207972893961053</v>
      </c>
      <c r="X29">
        <f t="shared" ca="1" si="16"/>
        <v>-2.5207972893961412</v>
      </c>
      <c r="Y29">
        <f t="shared" ca="1" si="17"/>
        <v>0</v>
      </c>
      <c r="Z29" t="e">
        <f t="shared" ca="1" si="18"/>
        <v>#NUM!</v>
      </c>
      <c r="AA29" t="e">
        <f t="shared" ca="1" si="19"/>
        <v>#NUM!</v>
      </c>
      <c r="AB29" t="e">
        <f t="shared" ca="1" si="20"/>
        <v>#NUM!</v>
      </c>
      <c r="AC29" t="e">
        <f t="shared" ca="1" si="21"/>
        <v>#NUM!</v>
      </c>
      <c r="AD29" t="e">
        <f t="shared" ca="1" si="22"/>
        <v>#NUM!</v>
      </c>
      <c r="AE29">
        <f t="shared" ca="1" si="23"/>
        <v>0</v>
      </c>
    </row>
    <row r="30" spans="1:31" x14ac:dyDescent="0.2">
      <c r="A30" s="6"/>
      <c r="B30" s="7" t="str">
        <f t="shared" si="24"/>
        <v/>
      </c>
      <c r="C30">
        <f ca="1">IF(A30&lt;1,LOOKUP(A30,Computations!$C$2:$C$100,Computations!$A$2:$A$100),n)</f>
        <v>2</v>
      </c>
      <c r="D30">
        <f t="shared" ca="1" si="0"/>
        <v>1.4999999999999999E-2</v>
      </c>
      <c r="E30">
        <f t="shared" ca="1" si="1"/>
        <v>0.03</v>
      </c>
      <c r="F30">
        <f t="shared" ca="1" si="25"/>
        <v>-1.6666666666666774E-3</v>
      </c>
      <c r="G30">
        <f t="shared" ca="1" si="26"/>
        <v>1.1666666666666679E-2</v>
      </c>
      <c r="H30">
        <f t="shared" ca="1" si="27"/>
        <v>0.04</v>
      </c>
      <c r="I30">
        <f t="shared" ca="1" si="28"/>
        <v>0</v>
      </c>
      <c r="J30">
        <f t="shared" ca="1" si="2"/>
        <v>0</v>
      </c>
      <c r="K30">
        <f t="shared" ca="1" si="3"/>
        <v>0</v>
      </c>
      <c r="L30">
        <f t="shared" ca="1" si="4"/>
        <v>0</v>
      </c>
      <c r="M30">
        <f t="shared" ca="1" si="5"/>
        <v>-40.333333333333002</v>
      </c>
      <c r="N30">
        <f t="shared" ca="1" si="6"/>
        <v>-81.407407407406353</v>
      </c>
      <c r="O30">
        <f t="shared" ca="1" si="7"/>
        <v>-773.3333333333162</v>
      </c>
      <c r="P30">
        <f t="shared" ca="1" si="8"/>
        <v>49.296296296295687</v>
      </c>
      <c r="Q30">
        <f t="shared" ca="1" si="9"/>
        <v>3.6666666666666514</v>
      </c>
      <c r="R30">
        <f t="shared" ca="1" si="10"/>
        <v>0.59936328097424707</v>
      </c>
      <c r="S30">
        <f t="shared" ca="1" si="11"/>
        <v>-3.6666666666666514</v>
      </c>
      <c r="T30">
        <f t="shared" ca="1" si="12"/>
        <v>0.98010872128129278</v>
      </c>
      <c r="U30">
        <f t="shared" ca="1" si="13"/>
        <v>0.34374508491765693</v>
      </c>
      <c r="V30">
        <f t="shared" ca="1" si="14"/>
        <v>2.333333333333321</v>
      </c>
      <c r="W30">
        <f t="shared" ca="1" si="15"/>
        <v>9.5207972893961053</v>
      </c>
      <c r="X30">
        <f t="shared" ca="1" si="16"/>
        <v>-2.5207972893961412</v>
      </c>
      <c r="Y30">
        <f t="shared" ca="1" si="17"/>
        <v>0</v>
      </c>
      <c r="Z30" t="e">
        <f t="shared" ca="1" si="18"/>
        <v>#NUM!</v>
      </c>
      <c r="AA30" t="e">
        <f t="shared" ca="1" si="19"/>
        <v>#NUM!</v>
      </c>
      <c r="AB30" t="e">
        <f t="shared" ca="1" si="20"/>
        <v>#NUM!</v>
      </c>
      <c r="AC30" t="e">
        <f t="shared" ca="1" si="21"/>
        <v>#NUM!</v>
      </c>
      <c r="AD30" t="e">
        <f t="shared" ca="1" si="22"/>
        <v>#NUM!</v>
      </c>
      <c r="AE30">
        <f t="shared" ca="1" si="23"/>
        <v>0</v>
      </c>
    </row>
    <row r="31" spans="1:31" x14ac:dyDescent="0.2">
      <c r="A31" s="6"/>
      <c r="B31" s="7" t="str">
        <f t="shared" si="24"/>
        <v/>
      </c>
      <c r="C31">
        <f ca="1">IF(A31&lt;1,LOOKUP(A31,Computations!$C$2:$C$100,Computations!$A$2:$A$100),n)</f>
        <v>2</v>
      </c>
      <c r="D31">
        <f t="shared" ca="1" si="0"/>
        <v>1.4999999999999999E-2</v>
      </c>
      <c r="E31">
        <f t="shared" ca="1" si="1"/>
        <v>0.03</v>
      </c>
      <c r="F31">
        <f t="shared" ca="1" si="25"/>
        <v>-1.6666666666666774E-3</v>
      </c>
      <c r="G31">
        <f t="shared" ca="1" si="26"/>
        <v>1.1666666666666679E-2</v>
      </c>
      <c r="H31">
        <f t="shared" ca="1" si="27"/>
        <v>0.04</v>
      </c>
      <c r="I31">
        <f t="shared" ca="1" si="28"/>
        <v>0</v>
      </c>
      <c r="J31">
        <f t="shared" ca="1" si="2"/>
        <v>0</v>
      </c>
      <c r="K31">
        <f t="shared" ca="1" si="3"/>
        <v>0</v>
      </c>
      <c r="L31">
        <f t="shared" ca="1" si="4"/>
        <v>0</v>
      </c>
      <c r="M31">
        <f t="shared" ca="1" si="5"/>
        <v>-40.333333333333002</v>
      </c>
      <c r="N31">
        <f t="shared" ca="1" si="6"/>
        <v>-81.407407407406353</v>
      </c>
      <c r="O31">
        <f t="shared" ca="1" si="7"/>
        <v>-773.3333333333162</v>
      </c>
      <c r="P31">
        <f t="shared" ca="1" si="8"/>
        <v>49.296296296295687</v>
      </c>
      <c r="Q31">
        <f t="shared" ca="1" si="9"/>
        <v>3.6666666666666514</v>
      </c>
      <c r="R31">
        <f t="shared" ca="1" si="10"/>
        <v>0.59936328097424707</v>
      </c>
      <c r="S31">
        <f t="shared" ca="1" si="11"/>
        <v>-3.6666666666666514</v>
      </c>
      <c r="T31">
        <f t="shared" ca="1" si="12"/>
        <v>0.98010872128129278</v>
      </c>
      <c r="U31">
        <f t="shared" ca="1" si="13"/>
        <v>0.34374508491765693</v>
      </c>
      <c r="V31">
        <f t="shared" ca="1" si="14"/>
        <v>2.333333333333321</v>
      </c>
      <c r="W31">
        <f t="shared" ca="1" si="15"/>
        <v>9.5207972893961053</v>
      </c>
      <c r="X31">
        <f t="shared" ca="1" si="16"/>
        <v>-2.5207972893961412</v>
      </c>
      <c r="Y31">
        <f t="shared" ca="1" si="17"/>
        <v>0</v>
      </c>
      <c r="Z31" t="e">
        <f t="shared" ca="1" si="18"/>
        <v>#NUM!</v>
      </c>
      <c r="AA31" t="e">
        <f t="shared" ca="1" si="19"/>
        <v>#NUM!</v>
      </c>
      <c r="AB31" t="e">
        <f t="shared" ca="1" si="20"/>
        <v>#NUM!</v>
      </c>
      <c r="AC31" t="e">
        <f t="shared" ca="1" si="21"/>
        <v>#NUM!</v>
      </c>
      <c r="AD31" t="e">
        <f t="shared" ca="1" si="22"/>
        <v>#NUM!</v>
      </c>
      <c r="AE31">
        <f t="shared" ca="1" si="23"/>
        <v>0</v>
      </c>
    </row>
    <row r="32" spans="1:31" x14ac:dyDescent="0.2">
      <c r="A32" s="6"/>
      <c r="B32" s="7" t="str">
        <f t="shared" si="24"/>
        <v/>
      </c>
      <c r="C32">
        <f ca="1">IF(A32&lt;1,LOOKUP(A32,Computations!$C$2:$C$100,Computations!$A$2:$A$100),n)</f>
        <v>2</v>
      </c>
      <c r="D32">
        <f t="shared" ca="1" si="0"/>
        <v>1.4999999999999999E-2</v>
      </c>
      <c r="E32">
        <f t="shared" ca="1" si="1"/>
        <v>0.03</v>
      </c>
      <c r="F32">
        <f t="shared" ca="1" si="25"/>
        <v>-1.6666666666666774E-3</v>
      </c>
      <c r="G32">
        <f t="shared" ca="1" si="26"/>
        <v>1.1666666666666679E-2</v>
      </c>
      <c r="H32">
        <f t="shared" ca="1" si="27"/>
        <v>0.04</v>
      </c>
      <c r="I32">
        <f t="shared" ca="1" si="28"/>
        <v>0</v>
      </c>
      <c r="J32">
        <f t="shared" ca="1" si="2"/>
        <v>0</v>
      </c>
      <c r="K32">
        <f t="shared" ca="1" si="3"/>
        <v>0</v>
      </c>
      <c r="L32">
        <f t="shared" ca="1" si="4"/>
        <v>0</v>
      </c>
      <c r="M32">
        <f t="shared" ca="1" si="5"/>
        <v>-40.333333333333002</v>
      </c>
      <c r="N32">
        <f t="shared" ca="1" si="6"/>
        <v>-81.407407407406353</v>
      </c>
      <c r="O32">
        <f t="shared" ca="1" si="7"/>
        <v>-773.3333333333162</v>
      </c>
      <c r="P32">
        <f t="shared" ca="1" si="8"/>
        <v>49.296296296295687</v>
      </c>
      <c r="Q32">
        <f t="shared" ca="1" si="9"/>
        <v>3.6666666666666514</v>
      </c>
      <c r="R32">
        <f t="shared" ca="1" si="10"/>
        <v>0.59936328097424707</v>
      </c>
      <c r="S32">
        <f t="shared" ca="1" si="11"/>
        <v>-3.6666666666666514</v>
      </c>
      <c r="T32">
        <f t="shared" ca="1" si="12"/>
        <v>0.98010872128129278</v>
      </c>
      <c r="U32">
        <f t="shared" ca="1" si="13"/>
        <v>0.34374508491765693</v>
      </c>
      <c r="V32">
        <f t="shared" ca="1" si="14"/>
        <v>2.333333333333321</v>
      </c>
      <c r="W32">
        <f t="shared" ca="1" si="15"/>
        <v>9.5207972893961053</v>
      </c>
      <c r="X32">
        <f t="shared" ca="1" si="16"/>
        <v>-2.5207972893961412</v>
      </c>
      <c r="Y32">
        <f t="shared" ca="1" si="17"/>
        <v>0</v>
      </c>
      <c r="Z32" t="e">
        <f t="shared" ca="1" si="18"/>
        <v>#NUM!</v>
      </c>
      <c r="AA32" t="e">
        <f t="shared" ca="1" si="19"/>
        <v>#NUM!</v>
      </c>
      <c r="AB32" t="e">
        <f t="shared" ca="1" si="20"/>
        <v>#NUM!</v>
      </c>
      <c r="AC32" t="e">
        <f t="shared" ca="1" si="21"/>
        <v>#NUM!</v>
      </c>
      <c r="AD32" t="e">
        <f t="shared" ca="1" si="22"/>
        <v>#NUM!</v>
      </c>
      <c r="AE32">
        <f t="shared" ca="1" si="23"/>
        <v>0</v>
      </c>
    </row>
    <row r="33" spans="1:31" x14ac:dyDescent="0.2">
      <c r="A33" s="6"/>
      <c r="B33" s="7" t="str">
        <f t="shared" si="24"/>
        <v/>
      </c>
      <c r="C33">
        <f ca="1">IF(A33&lt;1,LOOKUP(A33,Computations!$C$2:$C$100,Computations!$A$2:$A$100),n)</f>
        <v>2</v>
      </c>
      <c r="D33">
        <f t="shared" ca="1" si="0"/>
        <v>1.4999999999999999E-2</v>
      </c>
      <c r="E33">
        <f t="shared" ca="1" si="1"/>
        <v>0.03</v>
      </c>
      <c r="F33">
        <f t="shared" ca="1" si="25"/>
        <v>-1.6666666666666774E-3</v>
      </c>
      <c r="G33">
        <f t="shared" ca="1" si="26"/>
        <v>1.1666666666666679E-2</v>
      </c>
      <c r="H33">
        <f t="shared" ca="1" si="27"/>
        <v>0.04</v>
      </c>
      <c r="I33">
        <f t="shared" ca="1" si="28"/>
        <v>0</v>
      </c>
      <c r="J33">
        <f t="shared" ca="1" si="2"/>
        <v>0</v>
      </c>
      <c r="K33">
        <f t="shared" ca="1" si="3"/>
        <v>0</v>
      </c>
      <c r="L33">
        <f t="shared" ca="1" si="4"/>
        <v>0</v>
      </c>
      <c r="M33">
        <f t="shared" ca="1" si="5"/>
        <v>-40.333333333333002</v>
      </c>
      <c r="N33">
        <f t="shared" ca="1" si="6"/>
        <v>-81.407407407406353</v>
      </c>
      <c r="O33">
        <f t="shared" ca="1" si="7"/>
        <v>-773.3333333333162</v>
      </c>
      <c r="P33">
        <f t="shared" ca="1" si="8"/>
        <v>49.296296296295687</v>
      </c>
      <c r="Q33">
        <f t="shared" ca="1" si="9"/>
        <v>3.6666666666666514</v>
      </c>
      <c r="R33">
        <f t="shared" ca="1" si="10"/>
        <v>0.59936328097424707</v>
      </c>
      <c r="S33">
        <f t="shared" ca="1" si="11"/>
        <v>-3.6666666666666514</v>
      </c>
      <c r="T33">
        <f t="shared" ca="1" si="12"/>
        <v>0.98010872128129278</v>
      </c>
      <c r="U33">
        <f t="shared" ca="1" si="13"/>
        <v>0.34374508491765693</v>
      </c>
      <c r="V33">
        <f t="shared" ca="1" si="14"/>
        <v>2.333333333333321</v>
      </c>
      <c r="W33">
        <f t="shared" ca="1" si="15"/>
        <v>9.5207972893961053</v>
      </c>
      <c r="X33">
        <f t="shared" ca="1" si="16"/>
        <v>-2.5207972893961412</v>
      </c>
      <c r="Y33">
        <f t="shared" ca="1" si="17"/>
        <v>0</v>
      </c>
      <c r="Z33" t="e">
        <f t="shared" ca="1" si="18"/>
        <v>#NUM!</v>
      </c>
      <c r="AA33" t="e">
        <f t="shared" ca="1" si="19"/>
        <v>#NUM!</v>
      </c>
      <c r="AB33" t="e">
        <f t="shared" ca="1" si="20"/>
        <v>#NUM!</v>
      </c>
      <c r="AC33" t="e">
        <f t="shared" ca="1" si="21"/>
        <v>#NUM!</v>
      </c>
      <c r="AD33" t="e">
        <f t="shared" ca="1" si="22"/>
        <v>#NUM!</v>
      </c>
      <c r="AE33">
        <f t="shared" ca="1" si="23"/>
        <v>0</v>
      </c>
    </row>
    <row r="34" spans="1:31" x14ac:dyDescent="0.2">
      <c r="A34" s="6"/>
      <c r="B34" s="7" t="str">
        <f t="shared" si="24"/>
        <v/>
      </c>
      <c r="C34">
        <f ca="1">IF(A34&lt;1,LOOKUP(A34,Computations!$C$2:$C$100,Computations!$A$2:$A$100),n)</f>
        <v>2</v>
      </c>
      <c r="D34">
        <f t="shared" ca="1" si="0"/>
        <v>1.4999999999999999E-2</v>
      </c>
      <c r="E34">
        <f t="shared" ca="1" si="1"/>
        <v>0.03</v>
      </c>
      <c r="F34">
        <f t="shared" ca="1" si="25"/>
        <v>-1.6666666666666774E-3</v>
      </c>
      <c r="G34">
        <f t="shared" ca="1" si="26"/>
        <v>1.1666666666666679E-2</v>
      </c>
      <c r="H34">
        <f t="shared" ca="1" si="27"/>
        <v>0.04</v>
      </c>
      <c r="I34">
        <f t="shared" ca="1" si="28"/>
        <v>0</v>
      </c>
      <c r="J34">
        <f t="shared" ca="1" si="2"/>
        <v>0</v>
      </c>
      <c r="K34">
        <f t="shared" ca="1" si="3"/>
        <v>0</v>
      </c>
      <c r="L34">
        <f t="shared" ca="1" si="4"/>
        <v>0</v>
      </c>
      <c r="M34">
        <f t="shared" ca="1" si="5"/>
        <v>-40.333333333333002</v>
      </c>
      <c r="N34">
        <f t="shared" ca="1" si="6"/>
        <v>-81.407407407406353</v>
      </c>
      <c r="O34">
        <f t="shared" ca="1" si="7"/>
        <v>-773.3333333333162</v>
      </c>
      <c r="P34">
        <f t="shared" ca="1" si="8"/>
        <v>49.296296296295687</v>
      </c>
      <c r="Q34">
        <f t="shared" ca="1" si="9"/>
        <v>3.6666666666666514</v>
      </c>
      <c r="R34">
        <f t="shared" ca="1" si="10"/>
        <v>0.59936328097424707</v>
      </c>
      <c r="S34">
        <f t="shared" ca="1" si="11"/>
        <v>-3.6666666666666514</v>
      </c>
      <c r="T34">
        <f t="shared" ca="1" si="12"/>
        <v>0.98010872128129278</v>
      </c>
      <c r="U34">
        <f t="shared" ca="1" si="13"/>
        <v>0.34374508491765693</v>
      </c>
      <c r="V34">
        <f t="shared" ca="1" si="14"/>
        <v>2.333333333333321</v>
      </c>
      <c r="W34">
        <f t="shared" ca="1" si="15"/>
        <v>9.5207972893961053</v>
      </c>
      <c r="X34">
        <f t="shared" ca="1" si="16"/>
        <v>-2.5207972893961412</v>
      </c>
      <c r="Y34">
        <f t="shared" ca="1" si="17"/>
        <v>0</v>
      </c>
      <c r="Z34" t="e">
        <f t="shared" ca="1" si="18"/>
        <v>#NUM!</v>
      </c>
      <c r="AA34" t="e">
        <f t="shared" ca="1" si="19"/>
        <v>#NUM!</v>
      </c>
      <c r="AB34" t="e">
        <f t="shared" ca="1" si="20"/>
        <v>#NUM!</v>
      </c>
      <c r="AC34" t="e">
        <f t="shared" ca="1" si="21"/>
        <v>#NUM!</v>
      </c>
      <c r="AD34" t="e">
        <f t="shared" ca="1" si="22"/>
        <v>#NUM!</v>
      </c>
      <c r="AE34">
        <f t="shared" ca="1" si="23"/>
        <v>0</v>
      </c>
    </row>
    <row r="35" spans="1:31" x14ac:dyDescent="0.2">
      <c r="A35" s="6"/>
      <c r="B35" s="7" t="str">
        <f t="shared" si="24"/>
        <v/>
      </c>
      <c r="C35">
        <f ca="1">IF(A35&lt;1,LOOKUP(A35,Computations!$C$2:$C$100,Computations!$A$2:$A$100),n)</f>
        <v>2</v>
      </c>
      <c r="D35">
        <f t="shared" ca="1" si="0"/>
        <v>1.4999999999999999E-2</v>
      </c>
      <c r="E35">
        <f t="shared" ca="1" si="1"/>
        <v>0.03</v>
      </c>
      <c r="F35">
        <f t="shared" ca="1" si="25"/>
        <v>-1.6666666666666774E-3</v>
      </c>
      <c r="G35">
        <f t="shared" ca="1" si="26"/>
        <v>1.1666666666666679E-2</v>
      </c>
      <c r="H35">
        <f t="shared" ca="1" si="27"/>
        <v>0.04</v>
      </c>
      <c r="I35">
        <f t="shared" ca="1" si="28"/>
        <v>0</v>
      </c>
      <c r="J35">
        <f t="shared" ca="1" si="2"/>
        <v>0</v>
      </c>
      <c r="K35">
        <f t="shared" ca="1" si="3"/>
        <v>0</v>
      </c>
      <c r="L35">
        <f t="shared" ca="1" si="4"/>
        <v>0</v>
      </c>
      <c r="M35">
        <f t="shared" ca="1" si="5"/>
        <v>-40.333333333333002</v>
      </c>
      <c r="N35">
        <f t="shared" ca="1" si="6"/>
        <v>-81.407407407406353</v>
      </c>
      <c r="O35">
        <f t="shared" ca="1" si="7"/>
        <v>-773.3333333333162</v>
      </c>
      <c r="P35">
        <f t="shared" ca="1" si="8"/>
        <v>49.296296296295687</v>
      </c>
      <c r="Q35">
        <f t="shared" ca="1" si="9"/>
        <v>3.6666666666666514</v>
      </c>
      <c r="R35">
        <f t="shared" ca="1" si="10"/>
        <v>0.59936328097424707</v>
      </c>
      <c r="S35">
        <f t="shared" ca="1" si="11"/>
        <v>-3.6666666666666514</v>
      </c>
      <c r="T35">
        <f t="shared" ca="1" si="12"/>
        <v>0.98010872128129278</v>
      </c>
      <c r="U35">
        <f t="shared" ca="1" si="13"/>
        <v>0.34374508491765693</v>
      </c>
      <c r="V35">
        <f t="shared" ca="1" si="14"/>
        <v>2.333333333333321</v>
      </c>
      <c r="W35">
        <f t="shared" ca="1" si="15"/>
        <v>9.5207972893961053</v>
      </c>
      <c r="X35">
        <f t="shared" ca="1" si="16"/>
        <v>-2.5207972893961412</v>
      </c>
      <c r="Y35">
        <f t="shared" ca="1" si="17"/>
        <v>0</v>
      </c>
      <c r="Z35" t="e">
        <f t="shared" ca="1" si="18"/>
        <v>#NUM!</v>
      </c>
      <c r="AA35" t="e">
        <f t="shared" ca="1" si="19"/>
        <v>#NUM!</v>
      </c>
      <c r="AB35" t="e">
        <f t="shared" ca="1" si="20"/>
        <v>#NUM!</v>
      </c>
      <c r="AC35" t="e">
        <f t="shared" ca="1" si="21"/>
        <v>#NUM!</v>
      </c>
      <c r="AD35" t="e">
        <f t="shared" ca="1" si="22"/>
        <v>#NUM!</v>
      </c>
      <c r="AE35">
        <f t="shared" ca="1" si="23"/>
        <v>0</v>
      </c>
    </row>
    <row r="36" spans="1:31" x14ac:dyDescent="0.2">
      <c r="A36" s="6"/>
      <c r="B36" s="7" t="str">
        <f t="shared" si="24"/>
        <v/>
      </c>
      <c r="C36">
        <f ca="1">IF(A36&lt;1,LOOKUP(A36,Computations!$C$2:$C$100,Computations!$A$2:$A$100),n)</f>
        <v>2</v>
      </c>
      <c r="D36">
        <f t="shared" ca="1" si="0"/>
        <v>1.4999999999999999E-2</v>
      </c>
      <c r="E36">
        <f t="shared" ca="1" si="1"/>
        <v>0.03</v>
      </c>
      <c r="F36">
        <f t="shared" ca="1" si="25"/>
        <v>-1.6666666666666774E-3</v>
      </c>
      <c r="G36">
        <f t="shared" ca="1" si="26"/>
        <v>1.1666666666666679E-2</v>
      </c>
      <c r="H36">
        <f t="shared" ca="1" si="27"/>
        <v>0.04</v>
      </c>
      <c r="I36">
        <f t="shared" ca="1" si="28"/>
        <v>0</v>
      </c>
      <c r="J36">
        <f t="shared" ca="1" si="2"/>
        <v>0</v>
      </c>
      <c r="K36">
        <f t="shared" ca="1" si="3"/>
        <v>0</v>
      </c>
      <c r="L36">
        <f t="shared" ca="1" si="4"/>
        <v>0</v>
      </c>
      <c r="M36">
        <f t="shared" ca="1" si="5"/>
        <v>-40.333333333333002</v>
      </c>
      <c r="N36">
        <f t="shared" ca="1" si="6"/>
        <v>-81.407407407406353</v>
      </c>
      <c r="O36">
        <f t="shared" ca="1" si="7"/>
        <v>-773.3333333333162</v>
      </c>
      <c r="P36">
        <f t="shared" ca="1" si="8"/>
        <v>49.296296296295687</v>
      </c>
      <c r="Q36">
        <f t="shared" ca="1" si="9"/>
        <v>3.6666666666666514</v>
      </c>
      <c r="R36">
        <f t="shared" ca="1" si="10"/>
        <v>0.59936328097424707</v>
      </c>
      <c r="S36">
        <f t="shared" ca="1" si="11"/>
        <v>-3.6666666666666514</v>
      </c>
      <c r="T36">
        <f t="shared" ca="1" si="12"/>
        <v>0.98010872128129278</v>
      </c>
      <c r="U36">
        <f t="shared" ca="1" si="13"/>
        <v>0.34374508491765693</v>
      </c>
      <c r="V36">
        <f t="shared" ca="1" si="14"/>
        <v>2.333333333333321</v>
      </c>
      <c r="W36">
        <f t="shared" ca="1" si="15"/>
        <v>9.5207972893961053</v>
      </c>
      <c r="X36">
        <f t="shared" ca="1" si="16"/>
        <v>-2.5207972893961412</v>
      </c>
      <c r="Y36">
        <f t="shared" ca="1" si="17"/>
        <v>0</v>
      </c>
      <c r="Z36" t="e">
        <f t="shared" ca="1" si="18"/>
        <v>#NUM!</v>
      </c>
      <c r="AA36" t="e">
        <f t="shared" ca="1" si="19"/>
        <v>#NUM!</v>
      </c>
      <c r="AB36" t="e">
        <f t="shared" ca="1" si="20"/>
        <v>#NUM!</v>
      </c>
      <c r="AC36" t="e">
        <f t="shared" ca="1" si="21"/>
        <v>#NUM!</v>
      </c>
      <c r="AD36" t="e">
        <f t="shared" ca="1" si="22"/>
        <v>#NUM!</v>
      </c>
      <c r="AE36">
        <f t="shared" ca="1" si="23"/>
        <v>0</v>
      </c>
    </row>
    <row r="37" spans="1:31" x14ac:dyDescent="0.2">
      <c r="A37" s="6"/>
      <c r="B37" s="7" t="str">
        <f t="shared" si="24"/>
        <v/>
      </c>
      <c r="C37">
        <f ca="1">IF(A37&lt;1,LOOKUP(A37,Computations!$C$2:$C$100,Computations!$A$2:$A$100),n)</f>
        <v>2</v>
      </c>
      <c r="D37">
        <f t="shared" ca="1" si="0"/>
        <v>1.4999999999999999E-2</v>
      </c>
      <c r="E37">
        <f t="shared" ca="1" si="1"/>
        <v>0.03</v>
      </c>
      <c r="F37">
        <f t="shared" ca="1" si="25"/>
        <v>-1.6666666666666774E-3</v>
      </c>
      <c r="G37">
        <f t="shared" ca="1" si="26"/>
        <v>1.1666666666666679E-2</v>
      </c>
      <c r="H37">
        <f t="shared" ca="1" si="27"/>
        <v>0.04</v>
      </c>
      <c r="I37">
        <f t="shared" ca="1" si="28"/>
        <v>0</v>
      </c>
      <c r="J37">
        <f t="shared" ca="1" si="2"/>
        <v>0</v>
      </c>
      <c r="K37">
        <f t="shared" ca="1" si="3"/>
        <v>0</v>
      </c>
      <c r="L37">
        <f t="shared" ca="1" si="4"/>
        <v>0</v>
      </c>
      <c r="M37">
        <f t="shared" ca="1" si="5"/>
        <v>-40.333333333333002</v>
      </c>
      <c r="N37">
        <f t="shared" ca="1" si="6"/>
        <v>-81.407407407406353</v>
      </c>
      <c r="O37">
        <f t="shared" ca="1" si="7"/>
        <v>-773.3333333333162</v>
      </c>
      <c r="P37">
        <f t="shared" ca="1" si="8"/>
        <v>49.296296296295687</v>
      </c>
      <c r="Q37">
        <f t="shared" ca="1" si="9"/>
        <v>3.6666666666666514</v>
      </c>
      <c r="R37">
        <f t="shared" ca="1" si="10"/>
        <v>0.59936328097424707</v>
      </c>
      <c r="S37">
        <f t="shared" ca="1" si="11"/>
        <v>-3.6666666666666514</v>
      </c>
      <c r="T37">
        <f t="shared" ca="1" si="12"/>
        <v>0.98010872128129278</v>
      </c>
      <c r="U37">
        <f t="shared" ca="1" si="13"/>
        <v>0.34374508491765693</v>
      </c>
      <c r="V37">
        <f t="shared" ca="1" si="14"/>
        <v>2.333333333333321</v>
      </c>
      <c r="W37">
        <f t="shared" ca="1" si="15"/>
        <v>9.5207972893961053</v>
      </c>
      <c r="X37">
        <f t="shared" ca="1" si="16"/>
        <v>-2.5207972893961412</v>
      </c>
      <c r="Y37">
        <f t="shared" ca="1" si="17"/>
        <v>0</v>
      </c>
      <c r="Z37" t="e">
        <f t="shared" ca="1" si="18"/>
        <v>#NUM!</v>
      </c>
      <c r="AA37" t="e">
        <f t="shared" ca="1" si="19"/>
        <v>#NUM!</v>
      </c>
      <c r="AB37" t="e">
        <f t="shared" ca="1" si="20"/>
        <v>#NUM!</v>
      </c>
      <c r="AC37" t="e">
        <f t="shared" ca="1" si="21"/>
        <v>#NUM!</v>
      </c>
      <c r="AD37" t="e">
        <f t="shared" ca="1" si="22"/>
        <v>#NUM!</v>
      </c>
      <c r="AE37">
        <f t="shared" ca="1" si="23"/>
        <v>0</v>
      </c>
    </row>
    <row r="38" spans="1:31" x14ac:dyDescent="0.2">
      <c r="A38" s="6"/>
      <c r="B38" s="7" t="str">
        <f t="shared" si="24"/>
        <v/>
      </c>
      <c r="C38">
        <f ca="1">IF(A38&lt;1,LOOKUP(A38,Computations!$C$2:$C$100,Computations!$A$2:$A$100),n)</f>
        <v>2</v>
      </c>
      <c r="D38">
        <f t="shared" ca="1" si="0"/>
        <v>1.4999999999999999E-2</v>
      </c>
      <c r="E38">
        <f t="shared" ca="1" si="1"/>
        <v>0.03</v>
      </c>
      <c r="F38">
        <f t="shared" ca="1" si="25"/>
        <v>-1.6666666666666774E-3</v>
      </c>
      <c r="G38">
        <f t="shared" ca="1" si="26"/>
        <v>1.1666666666666679E-2</v>
      </c>
      <c r="H38">
        <f t="shared" ca="1" si="27"/>
        <v>0.04</v>
      </c>
      <c r="I38">
        <f t="shared" ca="1" si="28"/>
        <v>0</v>
      </c>
      <c r="J38">
        <f t="shared" ca="1" si="2"/>
        <v>0</v>
      </c>
      <c r="K38">
        <f t="shared" ca="1" si="3"/>
        <v>0</v>
      </c>
      <c r="L38">
        <f t="shared" ca="1" si="4"/>
        <v>0</v>
      </c>
      <c r="M38">
        <f t="shared" ca="1" si="5"/>
        <v>-40.333333333333002</v>
      </c>
      <c r="N38">
        <f t="shared" ca="1" si="6"/>
        <v>-81.407407407406353</v>
      </c>
      <c r="O38">
        <f t="shared" ca="1" si="7"/>
        <v>-773.3333333333162</v>
      </c>
      <c r="P38">
        <f t="shared" ca="1" si="8"/>
        <v>49.296296296295687</v>
      </c>
      <c r="Q38">
        <f t="shared" ca="1" si="9"/>
        <v>3.6666666666666514</v>
      </c>
      <c r="R38">
        <f t="shared" ca="1" si="10"/>
        <v>0.59936328097424707</v>
      </c>
      <c r="S38">
        <f t="shared" ca="1" si="11"/>
        <v>-3.6666666666666514</v>
      </c>
      <c r="T38">
        <f t="shared" ca="1" si="12"/>
        <v>0.98010872128129278</v>
      </c>
      <c r="U38">
        <f t="shared" ca="1" si="13"/>
        <v>0.34374508491765693</v>
      </c>
      <c r="V38">
        <f t="shared" ca="1" si="14"/>
        <v>2.333333333333321</v>
      </c>
      <c r="W38">
        <f t="shared" ca="1" si="15"/>
        <v>9.5207972893961053</v>
      </c>
      <c r="X38">
        <f t="shared" ca="1" si="16"/>
        <v>-2.5207972893961412</v>
      </c>
      <c r="Y38">
        <f t="shared" ca="1" si="17"/>
        <v>0</v>
      </c>
      <c r="Z38" t="e">
        <f t="shared" ca="1" si="18"/>
        <v>#NUM!</v>
      </c>
      <c r="AA38" t="e">
        <f t="shared" ca="1" si="19"/>
        <v>#NUM!</v>
      </c>
      <c r="AB38" t="e">
        <f t="shared" ca="1" si="20"/>
        <v>#NUM!</v>
      </c>
      <c r="AC38" t="e">
        <f t="shared" ca="1" si="21"/>
        <v>#NUM!</v>
      </c>
      <c r="AD38" t="e">
        <f t="shared" ca="1" si="22"/>
        <v>#NUM!</v>
      </c>
      <c r="AE38">
        <f t="shared" ca="1" si="23"/>
        <v>0</v>
      </c>
    </row>
    <row r="39" spans="1:31" x14ac:dyDescent="0.2">
      <c r="A39" s="6"/>
      <c r="B39" s="7" t="str">
        <f t="shared" si="24"/>
        <v/>
      </c>
      <c r="C39">
        <f ca="1">IF(A39&lt;1,LOOKUP(A39,Computations!$C$2:$C$100,Computations!$A$2:$A$100),n)</f>
        <v>2</v>
      </c>
      <c r="D39">
        <f t="shared" ca="1" si="0"/>
        <v>1.4999999999999999E-2</v>
      </c>
      <c r="E39">
        <f t="shared" ca="1" si="1"/>
        <v>0.03</v>
      </c>
      <c r="F39">
        <f t="shared" ca="1" si="25"/>
        <v>-1.6666666666666774E-3</v>
      </c>
      <c r="G39">
        <f t="shared" ca="1" si="26"/>
        <v>1.1666666666666679E-2</v>
      </c>
      <c r="H39">
        <f t="shared" ca="1" si="27"/>
        <v>0.04</v>
      </c>
      <c r="I39">
        <f t="shared" ca="1" si="28"/>
        <v>0</v>
      </c>
      <c r="J39">
        <f t="shared" ca="1" si="2"/>
        <v>0</v>
      </c>
      <c r="K39">
        <f t="shared" ca="1" si="3"/>
        <v>0</v>
      </c>
      <c r="L39">
        <f t="shared" ca="1" si="4"/>
        <v>0</v>
      </c>
      <c r="M39">
        <f t="shared" ca="1" si="5"/>
        <v>-40.333333333333002</v>
      </c>
      <c r="N39">
        <f t="shared" ca="1" si="6"/>
        <v>-81.407407407406353</v>
      </c>
      <c r="O39">
        <f t="shared" ca="1" si="7"/>
        <v>-773.3333333333162</v>
      </c>
      <c r="P39">
        <f t="shared" ca="1" si="8"/>
        <v>49.296296296295687</v>
      </c>
      <c r="Q39">
        <f t="shared" ca="1" si="9"/>
        <v>3.6666666666666514</v>
      </c>
      <c r="R39">
        <f t="shared" ca="1" si="10"/>
        <v>0.59936328097424707</v>
      </c>
      <c r="S39">
        <f t="shared" ca="1" si="11"/>
        <v>-3.6666666666666514</v>
      </c>
      <c r="T39">
        <f t="shared" ca="1" si="12"/>
        <v>0.98010872128129278</v>
      </c>
      <c r="U39">
        <f t="shared" ca="1" si="13"/>
        <v>0.34374508491765693</v>
      </c>
      <c r="V39">
        <f t="shared" ca="1" si="14"/>
        <v>2.333333333333321</v>
      </c>
      <c r="W39">
        <f t="shared" ca="1" si="15"/>
        <v>9.5207972893961053</v>
      </c>
      <c r="X39">
        <f t="shared" ca="1" si="16"/>
        <v>-2.5207972893961412</v>
      </c>
      <c r="Y39">
        <f t="shared" ca="1" si="17"/>
        <v>0</v>
      </c>
      <c r="Z39" t="e">
        <f t="shared" ca="1" si="18"/>
        <v>#NUM!</v>
      </c>
      <c r="AA39" t="e">
        <f t="shared" ca="1" si="19"/>
        <v>#NUM!</v>
      </c>
      <c r="AB39" t="e">
        <f t="shared" ca="1" si="20"/>
        <v>#NUM!</v>
      </c>
      <c r="AC39" t="e">
        <f t="shared" ca="1" si="21"/>
        <v>#NUM!</v>
      </c>
      <c r="AD39" t="e">
        <f t="shared" ca="1" si="22"/>
        <v>#NUM!</v>
      </c>
      <c r="AE39">
        <f t="shared" ca="1" si="23"/>
        <v>0</v>
      </c>
    </row>
    <row r="40" spans="1:31" x14ac:dyDescent="0.2">
      <c r="A40" s="6"/>
      <c r="B40" s="7" t="str">
        <f t="shared" si="24"/>
        <v/>
      </c>
      <c r="C40">
        <f ca="1">IF(A40&lt;1,LOOKUP(A40,Computations!$C$2:$C$100,Computations!$A$2:$A$100),n)</f>
        <v>2</v>
      </c>
      <c r="D40">
        <f t="shared" ca="1" si="0"/>
        <v>1.4999999999999999E-2</v>
      </c>
      <c r="E40">
        <f t="shared" ca="1" si="1"/>
        <v>0.03</v>
      </c>
      <c r="F40">
        <f t="shared" ca="1" si="25"/>
        <v>-1.6666666666666774E-3</v>
      </c>
      <c r="G40">
        <f t="shared" ca="1" si="26"/>
        <v>1.1666666666666679E-2</v>
      </c>
      <c r="H40">
        <f t="shared" ca="1" si="27"/>
        <v>0.04</v>
      </c>
      <c r="I40">
        <f t="shared" ca="1" si="28"/>
        <v>0</v>
      </c>
      <c r="J40">
        <f t="shared" ca="1" si="2"/>
        <v>0</v>
      </c>
      <c r="K40">
        <f t="shared" ca="1" si="3"/>
        <v>0</v>
      </c>
      <c r="L40">
        <f t="shared" ca="1" si="4"/>
        <v>0</v>
      </c>
      <c r="M40">
        <f t="shared" ca="1" si="5"/>
        <v>-40.333333333333002</v>
      </c>
      <c r="N40">
        <f t="shared" ca="1" si="6"/>
        <v>-81.407407407406353</v>
      </c>
      <c r="O40">
        <f t="shared" ca="1" si="7"/>
        <v>-773.3333333333162</v>
      </c>
      <c r="P40">
        <f t="shared" ca="1" si="8"/>
        <v>49.296296296295687</v>
      </c>
      <c r="Q40">
        <f t="shared" ca="1" si="9"/>
        <v>3.6666666666666514</v>
      </c>
      <c r="R40">
        <f t="shared" ca="1" si="10"/>
        <v>0.59936328097424707</v>
      </c>
      <c r="S40">
        <f t="shared" ca="1" si="11"/>
        <v>-3.6666666666666514</v>
      </c>
      <c r="T40">
        <f t="shared" ca="1" si="12"/>
        <v>0.98010872128129278</v>
      </c>
      <c r="U40">
        <f t="shared" ca="1" si="13"/>
        <v>0.34374508491765693</v>
      </c>
      <c r="V40">
        <f t="shared" ca="1" si="14"/>
        <v>2.333333333333321</v>
      </c>
      <c r="W40">
        <f t="shared" ca="1" si="15"/>
        <v>9.5207972893961053</v>
      </c>
      <c r="X40">
        <f t="shared" ca="1" si="16"/>
        <v>-2.5207972893961412</v>
      </c>
      <c r="Y40">
        <f t="shared" ca="1" si="17"/>
        <v>0</v>
      </c>
      <c r="Z40" t="e">
        <f t="shared" ca="1" si="18"/>
        <v>#NUM!</v>
      </c>
      <c r="AA40" t="e">
        <f t="shared" ca="1" si="19"/>
        <v>#NUM!</v>
      </c>
      <c r="AB40" t="e">
        <f t="shared" ca="1" si="20"/>
        <v>#NUM!</v>
      </c>
      <c r="AC40" t="e">
        <f t="shared" ca="1" si="21"/>
        <v>#NUM!</v>
      </c>
      <c r="AD40" t="e">
        <f t="shared" ca="1" si="22"/>
        <v>#NUM!</v>
      </c>
      <c r="AE40">
        <f t="shared" ca="1" si="23"/>
        <v>0</v>
      </c>
    </row>
    <row r="41" spans="1:31" x14ac:dyDescent="0.2">
      <c r="A41" s="6"/>
      <c r="B41" s="7" t="str">
        <f t="shared" si="24"/>
        <v/>
      </c>
      <c r="C41">
        <f ca="1">IF(A41&lt;1,LOOKUP(A41,Computations!$C$2:$C$100,Computations!$A$2:$A$100),n)</f>
        <v>2</v>
      </c>
      <c r="D41">
        <f t="shared" ca="1" si="0"/>
        <v>1.4999999999999999E-2</v>
      </c>
      <c r="E41">
        <f t="shared" ca="1" si="1"/>
        <v>0.03</v>
      </c>
      <c r="F41">
        <f t="shared" ca="1" si="25"/>
        <v>-1.6666666666666774E-3</v>
      </c>
      <c r="G41">
        <f t="shared" ca="1" si="26"/>
        <v>1.1666666666666679E-2</v>
      </c>
      <c r="H41">
        <f t="shared" ca="1" si="27"/>
        <v>0.04</v>
      </c>
      <c r="I41">
        <f t="shared" ca="1" si="28"/>
        <v>0</v>
      </c>
      <c r="J41">
        <f t="shared" ca="1" si="2"/>
        <v>0</v>
      </c>
      <c r="K41">
        <f t="shared" ca="1" si="3"/>
        <v>0</v>
      </c>
      <c r="L41">
        <f t="shared" ca="1" si="4"/>
        <v>0</v>
      </c>
      <c r="M41">
        <f t="shared" ca="1" si="5"/>
        <v>-40.333333333333002</v>
      </c>
      <c r="N41">
        <f t="shared" ca="1" si="6"/>
        <v>-81.407407407406353</v>
      </c>
      <c r="O41">
        <f t="shared" ca="1" si="7"/>
        <v>-773.3333333333162</v>
      </c>
      <c r="P41">
        <f t="shared" ca="1" si="8"/>
        <v>49.296296296295687</v>
      </c>
      <c r="Q41">
        <f t="shared" ca="1" si="9"/>
        <v>3.6666666666666514</v>
      </c>
      <c r="R41">
        <f t="shared" ca="1" si="10"/>
        <v>0.59936328097424707</v>
      </c>
      <c r="S41">
        <f t="shared" ca="1" si="11"/>
        <v>-3.6666666666666514</v>
      </c>
      <c r="T41">
        <f t="shared" ca="1" si="12"/>
        <v>0.98010872128129278</v>
      </c>
      <c r="U41">
        <f t="shared" ca="1" si="13"/>
        <v>0.34374508491765693</v>
      </c>
      <c r="V41">
        <f t="shared" ca="1" si="14"/>
        <v>2.333333333333321</v>
      </c>
      <c r="W41">
        <f t="shared" ca="1" si="15"/>
        <v>9.5207972893961053</v>
      </c>
      <c r="X41">
        <f t="shared" ca="1" si="16"/>
        <v>-2.5207972893961412</v>
      </c>
      <c r="Y41">
        <f t="shared" ca="1" si="17"/>
        <v>0</v>
      </c>
      <c r="Z41" t="e">
        <f t="shared" ca="1" si="18"/>
        <v>#NUM!</v>
      </c>
      <c r="AA41" t="e">
        <f t="shared" ca="1" si="19"/>
        <v>#NUM!</v>
      </c>
      <c r="AB41" t="e">
        <f t="shared" ca="1" si="20"/>
        <v>#NUM!</v>
      </c>
      <c r="AC41" t="e">
        <f t="shared" ca="1" si="21"/>
        <v>#NUM!</v>
      </c>
      <c r="AD41" t="e">
        <f t="shared" ca="1" si="22"/>
        <v>#NUM!</v>
      </c>
      <c r="AE41">
        <f t="shared" ca="1" si="23"/>
        <v>0</v>
      </c>
    </row>
    <row r="42" spans="1:31" x14ac:dyDescent="0.2">
      <c r="A42" s="6"/>
      <c r="B42" s="7" t="str">
        <f t="shared" si="24"/>
        <v/>
      </c>
      <c r="C42">
        <f ca="1">IF(A42&lt;1,LOOKUP(A42,Computations!$C$2:$C$100,Computations!$A$2:$A$100),n)</f>
        <v>2</v>
      </c>
      <c r="D42">
        <f t="shared" ca="1" si="0"/>
        <v>1.4999999999999999E-2</v>
      </c>
      <c r="E42">
        <f t="shared" ca="1" si="1"/>
        <v>0.03</v>
      </c>
      <c r="F42">
        <f t="shared" ca="1" si="25"/>
        <v>-1.6666666666666774E-3</v>
      </c>
      <c r="G42">
        <f t="shared" ca="1" si="26"/>
        <v>1.1666666666666679E-2</v>
      </c>
      <c r="H42">
        <f t="shared" ca="1" si="27"/>
        <v>0.04</v>
      </c>
      <c r="I42">
        <f t="shared" ca="1" si="28"/>
        <v>0</v>
      </c>
      <c r="J42">
        <f t="shared" ca="1" si="2"/>
        <v>0</v>
      </c>
      <c r="K42">
        <f t="shared" ca="1" si="3"/>
        <v>0</v>
      </c>
      <c r="L42">
        <f t="shared" ca="1" si="4"/>
        <v>0</v>
      </c>
      <c r="M42">
        <f t="shared" ca="1" si="5"/>
        <v>-40.333333333333002</v>
      </c>
      <c r="N42">
        <f t="shared" ca="1" si="6"/>
        <v>-81.407407407406353</v>
      </c>
      <c r="O42">
        <f t="shared" ca="1" si="7"/>
        <v>-773.3333333333162</v>
      </c>
      <c r="P42">
        <f t="shared" ca="1" si="8"/>
        <v>49.296296296295687</v>
      </c>
      <c r="Q42">
        <f t="shared" ca="1" si="9"/>
        <v>3.6666666666666514</v>
      </c>
      <c r="R42">
        <f t="shared" ca="1" si="10"/>
        <v>0.59936328097424707</v>
      </c>
      <c r="S42">
        <f t="shared" ca="1" si="11"/>
        <v>-3.6666666666666514</v>
      </c>
      <c r="T42">
        <f t="shared" ca="1" si="12"/>
        <v>0.98010872128129278</v>
      </c>
      <c r="U42">
        <f t="shared" ca="1" si="13"/>
        <v>0.34374508491765693</v>
      </c>
      <c r="V42">
        <f t="shared" ca="1" si="14"/>
        <v>2.333333333333321</v>
      </c>
      <c r="W42">
        <f t="shared" ca="1" si="15"/>
        <v>9.5207972893961053</v>
      </c>
      <c r="X42">
        <f t="shared" ca="1" si="16"/>
        <v>-2.5207972893961412</v>
      </c>
      <c r="Y42">
        <f t="shared" ca="1" si="17"/>
        <v>0</v>
      </c>
      <c r="Z42" t="e">
        <f t="shared" ca="1" si="18"/>
        <v>#NUM!</v>
      </c>
      <c r="AA42" t="e">
        <f t="shared" ca="1" si="19"/>
        <v>#NUM!</v>
      </c>
      <c r="AB42" t="e">
        <f t="shared" ca="1" si="20"/>
        <v>#NUM!</v>
      </c>
      <c r="AC42" t="e">
        <f t="shared" ca="1" si="21"/>
        <v>#NUM!</v>
      </c>
      <c r="AD42" t="e">
        <f t="shared" ca="1" si="22"/>
        <v>#NUM!</v>
      </c>
      <c r="AE42">
        <f t="shared" ca="1" si="23"/>
        <v>0</v>
      </c>
    </row>
    <row r="43" spans="1:31" x14ac:dyDescent="0.2">
      <c r="A43" s="6"/>
      <c r="B43" s="7" t="str">
        <f t="shared" si="24"/>
        <v/>
      </c>
      <c r="C43">
        <f ca="1">IF(A43&lt;1,LOOKUP(A43,Computations!$C$2:$C$100,Computations!$A$2:$A$100),n)</f>
        <v>2</v>
      </c>
      <c r="D43">
        <f t="shared" ca="1" si="0"/>
        <v>1.4999999999999999E-2</v>
      </c>
      <c r="E43">
        <f t="shared" ca="1" si="1"/>
        <v>0.03</v>
      </c>
      <c r="F43">
        <f t="shared" ca="1" si="25"/>
        <v>-1.6666666666666774E-3</v>
      </c>
      <c r="G43">
        <f t="shared" ca="1" si="26"/>
        <v>1.1666666666666679E-2</v>
      </c>
      <c r="H43">
        <f t="shared" ca="1" si="27"/>
        <v>0.04</v>
      </c>
      <c r="I43">
        <f t="shared" ca="1" si="28"/>
        <v>0</v>
      </c>
      <c r="J43">
        <f t="shared" ca="1" si="2"/>
        <v>0</v>
      </c>
      <c r="K43">
        <f t="shared" ca="1" si="3"/>
        <v>0</v>
      </c>
      <c r="L43">
        <f t="shared" ca="1" si="4"/>
        <v>0</v>
      </c>
      <c r="M43">
        <f t="shared" ca="1" si="5"/>
        <v>-40.333333333333002</v>
      </c>
      <c r="N43">
        <f t="shared" ca="1" si="6"/>
        <v>-81.407407407406353</v>
      </c>
      <c r="O43">
        <f t="shared" ca="1" si="7"/>
        <v>-773.3333333333162</v>
      </c>
      <c r="P43">
        <f t="shared" ca="1" si="8"/>
        <v>49.296296296295687</v>
      </c>
      <c r="Q43">
        <f t="shared" ca="1" si="9"/>
        <v>3.6666666666666514</v>
      </c>
      <c r="R43">
        <f t="shared" ca="1" si="10"/>
        <v>0.59936328097424707</v>
      </c>
      <c r="S43">
        <f t="shared" ca="1" si="11"/>
        <v>-3.6666666666666514</v>
      </c>
      <c r="T43">
        <f t="shared" ca="1" si="12"/>
        <v>0.98010872128129278</v>
      </c>
      <c r="U43">
        <f t="shared" ca="1" si="13"/>
        <v>0.34374508491765693</v>
      </c>
      <c r="V43">
        <f t="shared" ca="1" si="14"/>
        <v>2.333333333333321</v>
      </c>
      <c r="W43">
        <f t="shared" ca="1" si="15"/>
        <v>9.5207972893961053</v>
      </c>
      <c r="X43">
        <f t="shared" ca="1" si="16"/>
        <v>-2.5207972893961412</v>
      </c>
      <c r="Y43">
        <f t="shared" ca="1" si="17"/>
        <v>0</v>
      </c>
      <c r="Z43" t="e">
        <f t="shared" ca="1" si="18"/>
        <v>#NUM!</v>
      </c>
      <c r="AA43" t="e">
        <f t="shared" ca="1" si="19"/>
        <v>#NUM!</v>
      </c>
      <c r="AB43" t="e">
        <f t="shared" ca="1" si="20"/>
        <v>#NUM!</v>
      </c>
      <c r="AC43" t="e">
        <f t="shared" ca="1" si="21"/>
        <v>#NUM!</v>
      </c>
      <c r="AD43" t="e">
        <f t="shared" ca="1" si="22"/>
        <v>#NUM!</v>
      </c>
      <c r="AE43">
        <f t="shared" ca="1" si="23"/>
        <v>0</v>
      </c>
    </row>
    <row r="44" spans="1:31" x14ac:dyDescent="0.2">
      <c r="A44" s="6"/>
      <c r="B44" s="7" t="str">
        <f t="shared" si="24"/>
        <v/>
      </c>
      <c r="C44">
        <f ca="1">IF(A44&lt;1,LOOKUP(A44,Computations!$C$2:$C$100,Computations!$A$2:$A$100),n)</f>
        <v>2</v>
      </c>
      <c r="D44">
        <f t="shared" ca="1" si="0"/>
        <v>1.4999999999999999E-2</v>
      </c>
      <c r="E44">
        <f t="shared" ca="1" si="1"/>
        <v>0.03</v>
      </c>
      <c r="F44">
        <f t="shared" ca="1" si="25"/>
        <v>-1.6666666666666774E-3</v>
      </c>
      <c r="G44">
        <f t="shared" ca="1" si="26"/>
        <v>1.1666666666666679E-2</v>
      </c>
      <c r="H44">
        <f t="shared" ca="1" si="27"/>
        <v>0.04</v>
      </c>
      <c r="I44">
        <f t="shared" ca="1" si="28"/>
        <v>0</v>
      </c>
      <c r="J44">
        <f t="shared" ca="1" si="2"/>
        <v>0</v>
      </c>
      <c r="K44">
        <f t="shared" ca="1" si="3"/>
        <v>0</v>
      </c>
      <c r="L44">
        <f t="shared" ca="1" si="4"/>
        <v>0</v>
      </c>
      <c r="M44">
        <f t="shared" ca="1" si="5"/>
        <v>-40.333333333333002</v>
      </c>
      <c r="N44">
        <f t="shared" ca="1" si="6"/>
        <v>-81.407407407406353</v>
      </c>
      <c r="O44">
        <f t="shared" ca="1" si="7"/>
        <v>-773.3333333333162</v>
      </c>
      <c r="P44">
        <f t="shared" ca="1" si="8"/>
        <v>49.296296296295687</v>
      </c>
      <c r="Q44">
        <f t="shared" ca="1" si="9"/>
        <v>3.6666666666666514</v>
      </c>
      <c r="R44">
        <f t="shared" ca="1" si="10"/>
        <v>0.59936328097424707</v>
      </c>
      <c r="S44">
        <f t="shared" ca="1" si="11"/>
        <v>-3.6666666666666514</v>
      </c>
      <c r="T44">
        <f t="shared" ca="1" si="12"/>
        <v>0.98010872128129278</v>
      </c>
      <c r="U44">
        <f t="shared" ca="1" si="13"/>
        <v>0.34374508491765693</v>
      </c>
      <c r="V44">
        <f t="shared" ca="1" si="14"/>
        <v>2.333333333333321</v>
      </c>
      <c r="W44">
        <f t="shared" ca="1" si="15"/>
        <v>9.5207972893961053</v>
      </c>
      <c r="X44">
        <f t="shared" ca="1" si="16"/>
        <v>-2.5207972893961412</v>
      </c>
      <c r="Y44">
        <f t="shared" ca="1" si="17"/>
        <v>0</v>
      </c>
      <c r="Z44" t="e">
        <f t="shared" ca="1" si="18"/>
        <v>#NUM!</v>
      </c>
      <c r="AA44" t="e">
        <f t="shared" ca="1" si="19"/>
        <v>#NUM!</v>
      </c>
      <c r="AB44" t="e">
        <f t="shared" ca="1" si="20"/>
        <v>#NUM!</v>
      </c>
      <c r="AC44" t="e">
        <f t="shared" ca="1" si="21"/>
        <v>#NUM!</v>
      </c>
      <c r="AD44" t="e">
        <f t="shared" ca="1" si="22"/>
        <v>#NUM!</v>
      </c>
      <c r="AE44">
        <f t="shared" ca="1" si="23"/>
        <v>0</v>
      </c>
    </row>
    <row r="45" spans="1:31" x14ac:dyDescent="0.2">
      <c r="A45" s="6"/>
      <c r="B45" s="7" t="str">
        <f t="shared" si="24"/>
        <v/>
      </c>
      <c r="C45">
        <f ca="1">IF(A45&lt;1,LOOKUP(A45,Computations!$C$2:$C$100,Computations!$A$2:$A$100),n)</f>
        <v>2</v>
      </c>
      <c r="D45">
        <f t="shared" ca="1" si="0"/>
        <v>1.4999999999999999E-2</v>
      </c>
      <c r="E45">
        <f t="shared" ca="1" si="1"/>
        <v>0.03</v>
      </c>
      <c r="F45">
        <f t="shared" ca="1" si="25"/>
        <v>-1.6666666666666774E-3</v>
      </c>
      <c r="G45">
        <f t="shared" ca="1" si="26"/>
        <v>1.1666666666666679E-2</v>
      </c>
      <c r="H45">
        <f t="shared" ca="1" si="27"/>
        <v>0.04</v>
      </c>
      <c r="I45">
        <f t="shared" ca="1" si="28"/>
        <v>0</v>
      </c>
      <c r="J45">
        <f t="shared" ca="1" si="2"/>
        <v>0</v>
      </c>
      <c r="K45">
        <f t="shared" ca="1" si="3"/>
        <v>0</v>
      </c>
      <c r="L45">
        <f t="shared" ca="1" si="4"/>
        <v>0</v>
      </c>
      <c r="M45">
        <f t="shared" ca="1" si="5"/>
        <v>-40.333333333333002</v>
      </c>
      <c r="N45">
        <f t="shared" ca="1" si="6"/>
        <v>-81.407407407406353</v>
      </c>
      <c r="O45">
        <f t="shared" ca="1" si="7"/>
        <v>-773.3333333333162</v>
      </c>
      <c r="P45">
        <f t="shared" ca="1" si="8"/>
        <v>49.296296296295687</v>
      </c>
      <c r="Q45">
        <f t="shared" ca="1" si="9"/>
        <v>3.6666666666666514</v>
      </c>
      <c r="R45">
        <f t="shared" ca="1" si="10"/>
        <v>0.59936328097424707</v>
      </c>
      <c r="S45">
        <f t="shared" ca="1" si="11"/>
        <v>-3.6666666666666514</v>
      </c>
      <c r="T45">
        <f t="shared" ca="1" si="12"/>
        <v>0.98010872128129278</v>
      </c>
      <c r="U45">
        <f t="shared" ca="1" si="13"/>
        <v>0.34374508491765693</v>
      </c>
      <c r="V45">
        <f t="shared" ca="1" si="14"/>
        <v>2.333333333333321</v>
      </c>
      <c r="W45">
        <f t="shared" ca="1" si="15"/>
        <v>9.5207972893961053</v>
      </c>
      <c r="X45">
        <f t="shared" ca="1" si="16"/>
        <v>-2.5207972893961412</v>
      </c>
      <c r="Y45">
        <f t="shared" ca="1" si="17"/>
        <v>0</v>
      </c>
      <c r="Z45" t="e">
        <f t="shared" ca="1" si="18"/>
        <v>#NUM!</v>
      </c>
      <c r="AA45" t="e">
        <f t="shared" ca="1" si="19"/>
        <v>#NUM!</v>
      </c>
      <c r="AB45" t="e">
        <f t="shared" ca="1" si="20"/>
        <v>#NUM!</v>
      </c>
      <c r="AC45" t="e">
        <f t="shared" ca="1" si="21"/>
        <v>#NUM!</v>
      </c>
      <c r="AD45" t="e">
        <f t="shared" ca="1" si="22"/>
        <v>#NUM!</v>
      </c>
      <c r="AE45">
        <f t="shared" ca="1" si="23"/>
        <v>0</v>
      </c>
    </row>
    <row r="46" spans="1:31" x14ac:dyDescent="0.2">
      <c r="A46" s="6"/>
      <c r="B46" s="7" t="str">
        <f t="shared" si="24"/>
        <v/>
      </c>
      <c r="C46">
        <f ca="1">IF(A46&lt;1,LOOKUP(A46,Computations!$C$2:$C$100,Computations!$A$2:$A$100),n)</f>
        <v>2</v>
      </c>
      <c r="D46">
        <f t="shared" ca="1" si="0"/>
        <v>1.4999999999999999E-2</v>
      </c>
      <c r="E46">
        <f t="shared" ca="1" si="1"/>
        <v>0.03</v>
      </c>
      <c r="F46">
        <f t="shared" ca="1" si="25"/>
        <v>-1.6666666666666774E-3</v>
      </c>
      <c r="G46">
        <f t="shared" ca="1" si="26"/>
        <v>1.1666666666666679E-2</v>
      </c>
      <c r="H46">
        <f t="shared" ca="1" si="27"/>
        <v>0.04</v>
      </c>
      <c r="I46">
        <f t="shared" ca="1" si="28"/>
        <v>0</v>
      </c>
      <c r="J46">
        <f t="shared" ca="1" si="2"/>
        <v>0</v>
      </c>
      <c r="K46">
        <f t="shared" ca="1" si="3"/>
        <v>0</v>
      </c>
      <c r="L46">
        <f t="shared" ca="1" si="4"/>
        <v>0</v>
      </c>
      <c r="M46">
        <f t="shared" ca="1" si="5"/>
        <v>-40.333333333333002</v>
      </c>
      <c r="N46">
        <f t="shared" ca="1" si="6"/>
        <v>-81.407407407406353</v>
      </c>
      <c r="O46">
        <f t="shared" ca="1" si="7"/>
        <v>-773.3333333333162</v>
      </c>
      <c r="P46">
        <f t="shared" ca="1" si="8"/>
        <v>49.296296296295687</v>
      </c>
      <c r="Q46">
        <f t="shared" ca="1" si="9"/>
        <v>3.6666666666666514</v>
      </c>
      <c r="R46">
        <f t="shared" ca="1" si="10"/>
        <v>0.59936328097424707</v>
      </c>
      <c r="S46">
        <f t="shared" ca="1" si="11"/>
        <v>-3.6666666666666514</v>
      </c>
      <c r="T46">
        <f t="shared" ca="1" si="12"/>
        <v>0.98010872128129278</v>
      </c>
      <c r="U46">
        <f t="shared" ca="1" si="13"/>
        <v>0.34374508491765693</v>
      </c>
      <c r="V46">
        <f t="shared" ca="1" si="14"/>
        <v>2.333333333333321</v>
      </c>
      <c r="W46">
        <f t="shared" ca="1" si="15"/>
        <v>9.5207972893961053</v>
      </c>
      <c r="X46">
        <f t="shared" ca="1" si="16"/>
        <v>-2.5207972893961412</v>
      </c>
      <c r="Y46">
        <f t="shared" ca="1" si="17"/>
        <v>0</v>
      </c>
      <c r="Z46" t="e">
        <f t="shared" ca="1" si="18"/>
        <v>#NUM!</v>
      </c>
      <c r="AA46" t="e">
        <f t="shared" ca="1" si="19"/>
        <v>#NUM!</v>
      </c>
      <c r="AB46" t="e">
        <f t="shared" ca="1" si="20"/>
        <v>#NUM!</v>
      </c>
      <c r="AC46" t="e">
        <f t="shared" ca="1" si="21"/>
        <v>#NUM!</v>
      </c>
      <c r="AD46" t="e">
        <f t="shared" ca="1" si="22"/>
        <v>#NUM!</v>
      </c>
      <c r="AE46">
        <f t="shared" ca="1" si="23"/>
        <v>0</v>
      </c>
    </row>
    <row r="47" spans="1:31" x14ac:dyDescent="0.2">
      <c r="A47" s="6"/>
      <c r="B47" s="7" t="str">
        <f t="shared" si="24"/>
        <v/>
      </c>
      <c r="C47">
        <f ca="1">IF(A47&lt;1,LOOKUP(A47,Computations!$C$2:$C$100,Computations!$A$2:$A$100),n)</f>
        <v>2</v>
      </c>
      <c r="D47">
        <f t="shared" ca="1" si="0"/>
        <v>1.4999999999999999E-2</v>
      </c>
      <c r="E47">
        <f t="shared" ca="1" si="1"/>
        <v>0.03</v>
      </c>
      <c r="F47">
        <f t="shared" ca="1" si="25"/>
        <v>-1.6666666666666774E-3</v>
      </c>
      <c r="G47">
        <f t="shared" ca="1" si="26"/>
        <v>1.1666666666666679E-2</v>
      </c>
      <c r="H47">
        <f t="shared" ca="1" si="27"/>
        <v>0.04</v>
      </c>
      <c r="I47">
        <f t="shared" ca="1" si="28"/>
        <v>0</v>
      </c>
      <c r="J47">
        <f t="shared" ca="1" si="2"/>
        <v>0</v>
      </c>
      <c r="K47">
        <f t="shared" ca="1" si="3"/>
        <v>0</v>
      </c>
      <c r="L47">
        <f t="shared" ca="1" si="4"/>
        <v>0</v>
      </c>
      <c r="M47">
        <f t="shared" ca="1" si="5"/>
        <v>-40.333333333333002</v>
      </c>
      <c r="N47">
        <f t="shared" ca="1" si="6"/>
        <v>-81.407407407406353</v>
      </c>
      <c r="O47">
        <f t="shared" ca="1" si="7"/>
        <v>-773.3333333333162</v>
      </c>
      <c r="P47">
        <f t="shared" ca="1" si="8"/>
        <v>49.296296296295687</v>
      </c>
      <c r="Q47">
        <f t="shared" ca="1" si="9"/>
        <v>3.6666666666666514</v>
      </c>
      <c r="R47">
        <f t="shared" ca="1" si="10"/>
        <v>0.59936328097424707</v>
      </c>
      <c r="S47">
        <f t="shared" ca="1" si="11"/>
        <v>-3.6666666666666514</v>
      </c>
      <c r="T47">
        <f t="shared" ca="1" si="12"/>
        <v>0.98010872128129278</v>
      </c>
      <c r="U47">
        <f t="shared" ca="1" si="13"/>
        <v>0.34374508491765693</v>
      </c>
      <c r="V47">
        <f t="shared" ca="1" si="14"/>
        <v>2.333333333333321</v>
      </c>
      <c r="W47">
        <f t="shared" ca="1" si="15"/>
        <v>9.5207972893961053</v>
      </c>
      <c r="X47">
        <f t="shared" ca="1" si="16"/>
        <v>-2.5207972893961412</v>
      </c>
      <c r="Y47">
        <f t="shared" ca="1" si="17"/>
        <v>0</v>
      </c>
      <c r="Z47" t="e">
        <f t="shared" ca="1" si="18"/>
        <v>#NUM!</v>
      </c>
      <c r="AA47" t="e">
        <f t="shared" ca="1" si="19"/>
        <v>#NUM!</v>
      </c>
      <c r="AB47" t="e">
        <f t="shared" ca="1" si="20"/>
        <v>#NUM!</v>
      </c>
      <c r="AC47" t="e">
        <f t="shared" ca="1" si="21"/>
        <v>#NUM!</v>
      </c>
      <c r="AD47" t="e">
        <f t="shared" ca="1" si="22"/>
        <v>#NUM!</v>
      </c>
      <c r="AE47">
        <f t="shared" ca="1" si="23"/>
        <v>0</v>
      </c>
    </row>
    <row r="48" spans="1:31" x14ac:dyDescent="0.2">
      <c r="A48" s="6"/>
      <c r="B48" s="7" t="str">
        <f t="shared" si="24"/>
        <v/>
      </c>
      <c r="C48">
        <f ca="1">IF(A48&lt;1,LOOKUP(A48,Computations!$C$2:$C$100,Computations!$A$2:$A$100),n)</f>
        <v>2</v>
      </c>
      <c r="D48">
        <f t="shared" ca="1" si="0"/>
        <v>1.4999999999999999E-2</v>
      </c>
      <c r="E48">
        <f t="shared" ca="1" si="1"/>
        <v>0.03</v>
      </c>
      <c r="F48">
        <f t="shared" ca="1" si="25"/>
        <v>-1.6666666666666774E-3</v>
      </c>
      <c r="G48">
        <f t="shared" ca="1" si="26"/>
        <v>1.1666666666666679E-2</v>
      </c>
      <c r="H48">
        <f t="shared" ca="1" si="27"/>
        <v>0.04</v>
      </c>
      <c r="I48">
        <f t="shared" ca="1" si="28"/>
        <v>0</v>
      </c>
      <c r="J48">
        <f t="shared" ca="1" si="2"/>
        <v>0</v>
      </c>
      <c r="K48">
        <f t="shared" ca="1" si="3"/>
        <v>0</v>
      </c>
      <c r="L48">
        <f t="shared" ca="1" si="4"/>
        <v>0</v>
      </c>
      <c r="M48">
        <f t="shared" ca="1" si="5"/>
        <v>-40.333333333333002</v>
      </c>
      <c r="N48">
        <f t="shared" ca="1" si="6"/>
        <v>-81.407407407406353</v>
      </c>
      <c r="O48">
        <f t="shared" ca="1" si="7"/>
        <v>-773.3333333333162</v>
      </c>
      <c r="P48">
        <f t="shared" ca="1" si="8"/>
        <v>49.296296296295687</v>
      </c>
      <c r="Q48">
        <f t="shared" ca="1" si="9"/>
        <v>3.6666666666666514</v>
      </c>
      <c r="R48">
        <f t="shared" ca="1" si="10"/>
        <v>0.59936328097424707</v>
      </c>
      <c r="S48">
        <f t="shared" ca="1" si="11"/>
        <v>-3.6666666666666514</v>
      </c>
      <c r="T48">
        <f t="shared" ca="1" si="12"/>
        <v>0.98010872128129278</v>
      </c>
      <c r="U48">
        <f t="shared" ca="1" si="13"/>
        <v>0.34374508491765693</v>
      </c>
      <c r="V48">
        <f t="shared" ca="1" si="14"/>
        <v>2.333333333333321</v>
      </c>
      <c r="W48">
        <f t="shared" ca="1" si="15"/>
        <v>9.5207972893961053</v>
      </c>
      <c r="X48">
        <f t="shared" ca="1" si="16"/>
        <v>-2.5207972893961412</v>
      </c>
      <c r="Y48">
        <f t="shared" ca="1" si="17"/>
        <v>0</v>
      </c>
      <c r="Z48" t="e">
        <f t="shared" ca="1" si="18"/>
        <v>#NUM!</v>
      </c>
      <c r="AA48" t="e">
        <f t="shared" ca="1" si="19"/>
        <v>#NUM!</v>
      </c>
      <c r="AB48" t="e">
        <f t="shared" ca="1" si="20"/>
        <v>#NUM!</v>
      </c>
      <c r="AC48" t="e">
        <f t="shared" ca="1" si="21"/>
        <v>#NUM!</v>
      </c>
      <c r="AD48" t="e">
        <f t="shared" ca="1" si="22"/>
        <v>#NUM!</v>
      </c>
      <c r="AE48">
        <f t="shared" ca="1" si="23"/>
        <v>0</v>
      </c>
    </row>
    <row r="49" spans="1:31" x14ac:dyDescent="0.2">
      <c r="A49" s="6"/>
      <c r="B49" s="7" t="str">
        <f t="shared" si="24"/>
        <v/>
      </c>
      <c r="C49">
        <f ca="1">IF(A49&lt;1,LOOKUP(A49,Computations!$C$2:$C$100,Computations!$A$2:$A$100),n)</f>
        <v>2</v>
      </c>
      <c r="D49">
        <f t="shared" ca="1" si="0"/>
        <v>1.4999999999999999E-2</v>
      </c>
      <c r="E49">
        <f t="shared" ca="1" si="1"/>
        <v>0.03</v>
      </c>
      <c r="F49">
        <f t="shared" ca="1" si="25"/>
        <v>-1.6666666666666774E-3</v>
      </c>
      <c r="G49">
        <f t="shared" ca="1" si="26"/>
        <v>1.1666666666666679E-2</v>
      </c>
      <c r="H49">
        <f t="shared" ca="1" si="27"/>
        <v>0.04</v>
      </c>
      <c r="I49">
        <f t="shared" ca="1" si="28"/>
        <v>0</v>
      </c>
      <c r="J49">
        <f t="shared" ca="1" si="2"/>
        <v>0</v>
      </c>
      <c r="K49">
        <f t="shared" ca="1" si="3"/>
        <v>0</v>
      </c>
      <c r="L49">
        <f t="shared" ca="1" si="4"/>
        <v>0</v>
      </c>
      <c r="M49">
        <f t="shared" ca="1" si="5"/>
        <v>-40.333333333333002</v>
      </c>
      <c r="N49">
        <f t="shared" ca="1" si="6"/>
        <v>-81.407407407406353</v>
      </c>
      <c r="O49">
        <f t="shared" ca="1" si="7"/>
        <v>-773.3333333333162</v>
      </c>
      <c r="P49">
        <f t="shared" ca="1" si="8"/>
        <v>49.296296296295687</v>
      </c>
      <c r="Q49">
        <f t="shared" ca="1" si="9"/>
        <v>3.6666666666666514</v>
      </c>
      <c r="R49">
        <f t="shared" ca="1" si="10"/>
        <v>0.59936328097424707</v>
      </c>
      <c r="S49">
        <f t="shared" ca="1" si="11"/>
        <v>-3.6666666666666514</v>
      </c>
      <c r="T49">
        <f t="shared" ca="1" si="12"/>
        <v>0.98010872128129278</v>
      </c>
      <c r="U49">
        <f t="shared" ca="1" si="13"/>
        <v>0.34374508491765693</v>
      </c>
      <c r="V49">
        <f t="shared" ca="1" si="14"/>
        <v>2.333333333333321</v>
      </c>
      <c r="W49">
        <f t="shared" ca="1" si="15"/>
        <v>9.5207972893961053</v>
      </c>
      <c r="X49">
        <f t="shared" ca="1" si="16"/>
        <v>-2.5207972893961412</v>
      </c>
      <c r="Y49">
        <f t="shared" ca="1" si="17"/>
        <v>0</v>
      </c>
      <c r="Z49" t="e">
        <f t="shared" ca="1" si="18"/>
        <v>#NUM!</v>
      </c>
      <c r="AA49" t="e">
        <f t="shared" ca="1" si="19"/>
        <v>#NUM!</v>
      </c>
      <c r="AB49" t="e">
        <f t="shared" ca="1" si="20"/>
        <v>#NUM!</v>
      </c>
      <c r="AC49" t="e">
        <f t="shared" ca="1" si="21"/>
        <v>#NUM!</v>
      </c>
      <c r="AD49" t="e">
        <f t="shared" ca="1" si="22"/>
        <v>#NUM!</v>
      </c>
      <c r="AE49">
        <f t="shared" ca="1" si="23"/>
        <v>0</v>
      </c>
    </row>
    <row r="50" spans="1:31" x14ac:dyDescent="0.2">
      <c r="A50" s="6"/>
      <c r="B50" s="7" t="str">
        <f t="shared" si="24"/>
        <v/>
      </c>
      <c r="C50">
        <f ca="1">IF(A50&lt;1,LOOKUP(A50,Computations!$C$2:$C$100,Computations!$A$2:$A$100),n)</f>
        <v>2</v>
      </c>
      <c r="D50">
        <f t="shared" ca="1" si="0"/>
        <v>1.4999999999999999E-2</v>
      </c>
      <c r="E50">
        <f t="shared" ca="1" si="1"/>
        <v>0.03</v>
      </c>
      <c r="F50">
        <f t="shared" ca="1" si="25"/>
        <v>-1.6666666666666774E-3</v>
      </c>
      <c r="G50">
        <f t="shared" ca="1" si="26"/>
        <v>1.1666666666666679E-2</v>
      </c>
      <c r="H50">
        <f t="shared" ca="1" si="27"/>
        <v>0.04</v>
      </c>
      <c r="I50">
        <f t="shared" ca="1" si="28"/>
        <v>0</v>
      </c>
      <c r="J50">
        <f t="shared" ca="1" si="2"/>
        <v>0</v>
      </c>
      <c r="K50">
        <f t="shared" ca="1" si="3"/>
        <v>0</v>
      </c>
      <c r="L50">
        <f t="shared" ca="1" si="4"/>
        <v>0</v>
      </c>
      <c r="M50">
        <f t="shared" ca="1" si="5"/>
        <v>-40.333333333333002</v>
      </c>
      <c r="N50">
        <f t="shared" ca="1" si="6"/>
        <v>-81.407407407406353</v>
      </c>
      <c r="O50">
        <f t="shared" ca="1" si="7"/>
        <v>-773.3333333333162</v>
      </c>
      <c r="P50">
        <f t="shared" ca="1" si="8"/>
        <v>49.296296296295687</v>
      </c>
      <c r="Q50">
        <f t="shared" ca="1" si="9"/>
        <v>3.6666666666666514</v>
      </c>
      <c r="R50">
        <f t="shared" ca="1" si="10"/>
        <v>0.59936328097424707</v>
      </c>
      <c r="S50">
        <f t="shared" ca="1" si="11"/>
        <v>-3.6666666666666514</v>
      </c>
      <c r="T50">
        <f t="shared" ca="1" si="12"/>
        <v>0.98010872128129278</v>
      </c>
      <c r="U50">
        <f t="shared" ca="1" si="13"/>
        <v>0.34374508491765693</v>
      </c>
      <c r="V50">
        <f t="shared" ca="1" si="14"/>
        <v>2.333333333333321</v>
      </c>
      <c r="W50">
        <f t="shared" ca="1" si="15"/>
        <v>9.5207972893961053</v>
      </c>
      <c r="X50">
        <f t="shared" ca="1" si="16"/>
        <v>-2.5207972893961412</v>
      </c>
      <c r="Y50">
        <f t="shared" ca="1" si="17"/>
        <v>0</v>
      </c>
      <c r="Z50" t="e">
        <f t="shared" ca="1" si="18"/>
        <v>#NUM!</v>
      </c>
      <c r="AA50" t="e">
        <f t="shared" ca="1" si="19"/>
        <v>#NUM!</v>
      </c>
      <c r="AB50" t="e">
        <f t="shared" ca="1" si="20"/>
        <v>#NUM!</v>
      </c>
      <c r="AC50" t="e">
        <f t="shared" ca="1" si="21"/>
        <v>#NUM!</v>
      </c>
      <c r="AD50" t="e">
        <f t="shared" ca="1" si="22"/>
        <v>#NUM!</v>
      </c>
      <c r="AE50">
        <f t="shared" ca="1" si="23"/>
        <v>0</v>
      </c>
    </row>
    <row r="51" spans="1:31" x14ac:dyDescent="0.2">
      <c r="A51" s="6"/>
      <c r="B51" s="7" t="str">
        <f t="shared" si="24"/>
        <v/>
      </c>
      <c r="C51">
        <f ca="1">IF(A51&lt;1,LOOKUP(A51,Computations!$C$2:$C$100,Computations!$A$2:$A$100),n)</f>
        <v>2</v>
      </c>
      <c r="D51">
        <f t="shared" ca="1" si="0"/>
        <v>1.4999999999999999E-2</v>
      </c>
      <c r="E51">
        <f t="shared" ca="1" si="1"/>
        <v>0.03</v>
      </c>
      <c r="F51">
        <f t="shared" ca="1" si="25"/>
        <v>-1.6666666666666774E-3</v>
      </c>
      <c r="G51">
        <f t="shared" ca="1" si="26"/>
        <v>1.1666666666666679E-2</v>
      </c>
      <c r="H51">
        <f t="shared" ca="1" si="27"/>
        <v>0.04</v>
      </c>
      <c r="I51">
        <f t="shared" ca="1" si="28"/>
        <v>0</v>
      </c>
      <c r="J51">
        <f t="shared" ca="1" si="2"/>
        <v>0</v>
      </c>
      <c r="K51">
        <f t="shared" ca="1" si="3"/>
        <v>0</v>
      </c>
      <c r="L51">
        <f t="shared" ca="1" si="4"/>
        <v>0</v>
      </c>
      <c r="M51">
        <f t="shared" ca="1" si="5"/>
        <v>-40.333333333333002</v>
      </c>
      <c r="N51">
        <f t="shared" ca="1" si="6"/>
        <v>-81.407407407406353</v>
      </c>
      <c r="O51">
        <f t="shared" ca="1" si="7"/>
        <v>-773.3333333333162</v>
      </c>
      <c r="P51">
        <f t="shared" ca="1" si="8"/>
        <v>49.296296296295687</v>
      </c>
      <c r="Q51">
        <f t="shared" ca="1" si="9"/>
        <v>3.6666666666666514</v>
      </c>
      <c r="R51">
        <f t="shared" ca="1" si="10"/>
        <v>0.59936328097424707</v>
      </c>
      <c r="S51">
        <f t="shared" ca="1" si="11"/>
        <v>-3.6666666666666514</v>
      </c>
      <c r="T51">
        <f t="shared" ca="1" si="12"/>
        <v>0.98010872128129278</v>
      </c>
      <c r="U51">
        <f t="shared" ca="1" si="13"/>
        <v>0.34374508491765693</v>
      </c>
      <c r="V51">
        <f t="shared" ca="1" si="14"/>
        <v>2.333333333333321</v>
      </c>
      <c r="W51">
        <f t="shared" ca="1" si="15"/>
        <v>9.5207972893961053</v>
      </c>
      <c r="X51">
        <f t="shared" ca="1" si="16"/>
        <v>-2.5207972893961412</v>
      </c>
      <c r="Y51">
        <f t="shared" ca="1" si="17"/>
        <v>0</v>
      </c>
      <c r="Z51" t="e">
        <f t="shared" ca="1" si="18"/>
        <v>#NUM!</v>
      </c>
      <c r="AA51" t="e">
        <f t="shared" ca="1" si="19"/>
        <v>#NUM!</v>
      </c>
      <c r="AB51" t="e">
        <f t="shared" ca="1" si="20"/>
        <v>#NUM!</v>
      </c>
      <c r="AC51" t="e">
        <f t="shared" ca="1" si="21"/>
        <v>#NUM!</v>
      </c>
      <c r="AD51" t="e">
        <f t="shared" ca="1" si="22"/>
        <v>#NUM!</v>
      </c>
      <c r="AE51">
        <f t="shared" ca="1" si="23"/>
        <v>0</v>
      </c>
    </row>
    <row r="52" spans="1:31" x14ac:dyDescent="0.2">
      <c r="A52" s="6"/>
      <c r="B52" s="7" t="str">
        <f t="shared" si="24"/>
        <v/>
      </c>
      <c r="C52">
        <f ca="1">IF(A52&lt;1,LOOKUP(A52,Computations!$C$2:$C$100,Computations!$A$2:$A$100),n)</f>
        <v>2</v>
      </c>
      <c r="D52">
        <f t="shared" ca="1" si="0"/>
        <v>1.4999999999999999E-2</v>
      </c>
      <c r="E52">
        <f t="shared" ca="1" si="1"/>
        <v>0.03</v>
      </c>
      <c r="F52">
        <f t="shared" ca="1" si="25"/>
        <v>-1.6666666666666774E-3</v>
      </c>
      <c r="G52">
        <f t="shared" ca="1" si="26"/>
        <v>1.1666666666666679E-2</v>
      </c>
      <c r="H52">
        <f t="shared" ca="1" si="27"/>
        <v>0.04</v>
      </c>
      <c r="I52">
        <f t="shared" ca="1" si="28"/>
        <v>0</v>
      </c>
      <c r="J52">
        <f t="shared" ca="1" si="2"/>
        <v>0</v>
      </c>
      <c r="K52">
        <f t="shared" ca="1" si="3"/>
        <v>0</v>
      </c>
      <c r="L52">
        <f t="shared" ca="1" si="4"/>
        <v>0</v>
      </c>
      <c r="M52">
        <f t="shared" ca="1" si="5"/>
        <v>-40.333333333333002</v>
      </c>
      <c r="N52">
        <f t="shared" ca="1" si="6"/>
        <v>-81.407407407406353</v>
      </c>
      <c r="O52">
        <f t="shared" ca="1" si="7"/>
        <v>-773.3333333333162</v>
      </c>
      <c r="P52">
        <f t="shared" ca="1" si="8"/>
        <v>49.296296296295687</v>
      </c>
      <c r="Q52">
        <f t="shared" ca="1" si="9"/>
        <v>3.6666666666666514</v>
      </c>
      <c r="R52">
        <f t="shared" ca="1" si="10"/>
        <v>0.59936328097424707</v>
      </c>
      <c r="S52">
        <f t="shared" ca="1" si="11"/>
        <v>-3.6666666666666514</v>
      </c>
      <c r="T52">
        <f t="shared" ca="1" si="12"/>
        <v>0.98010872128129278</v>
      </c>
      <c r="U52">
        <f t="shared" ca="1" si="13"/>
        <v>0.34374508491765693</v>
      </c>
      <c r="V52">
        <f t="shared" ca="1" si="14"/>
        <v>2.333333333333321</v>
      </c>
      <c r="W52">
        <f t="shared" ca="1" si="15"/>
        <v>9.5207972893961053</v>
      </c>
      <c r="X52">
        <f t="shared" ca="1" si="16"/>
        <v>-2.5207972893961412</v>
      </c>
      <c r="Y52">
        <f t="shared" ca="1" si="17"/>
        <v>0</v>
      </c>
      <c r="Z52" t="e">
        <f t="shared" ca="1" si="18"/>
        <v>#NUM!</v>
      </c>
      <c r="AA52" t="e">
        <f t="shared" ca="1" si="19"/>
        <v>#NUM!</v>
      </c>
      <c r="AB52" t="e">
        <f t="shared" ca="1" si="20"/>
        <v>#NUM!</v>
      </c>
      <c r="AC52" t="e">
        <f t="shared" ca="1" si="21"/>
        <v>#NUM!</v>
      </c>
      <c r="AD52" t="e">
        <f t="shared" ca="1" si="22"/>
        <v>#NUM!</v>
      </c>
      <c r="AE52">
        <f t="shared" ca="1" si="23"/>
        <v>0</v>
      </c>
    </row>
    <row r="53" spans="1:31" x14ac:dyDescent="0.2">
      <c r="A53" s="6"/>
      <c r="B53" s="7" t="str">
        <f t="shared" si="24"/>
        <v/>
      </c>
      <c r="C53">
        <f ca="1">IF(A53&lt;1,LOOKUP(A53,Computations!$C$2:$C$100,Computations!$A$2:$A$100),n)</f>
        <v>2</v>
      </c>
      <c r="D53">
        <f t="shared" ca="1" si="0"/>
        <v>1.4999999999999999E-2</v>
      </c>
      <c r="E53">
        <f t="shared" ca="1" si="1"/>
        <v>0.03</v>
      </c>
      <c r="F53">
        <f t="shared" ca="1" si="25"/>
        <v>-1.6666666666666774E-3</v>
      </c>
      <c r="G53">
        <f t="shared" ca="1" si="26"/>
        <v>1.1666666666666679E-2</v>
      </c>
      <c r="H53">
        <f t="shared" ca="1" si="27"/>
        <v>0.04</v>
      </c>
      <c r="I53">
        <f t="shared" ca="1" si="28"/>
        <v>0</v>
      </c>
      <c r="J53">
        <f t="shared" ca="1" si="2"/>
        <v>0</v>
      </c>
      <c r="K53">
        <f t="shared" ca="1" si="3"/>
        <v>0</v>
      </c>
      <c r="L53">
        <f t="shared" ca="1" si="4"/>
        <v>0</v>
      </c>
      <c r="M53">
        <f t="shared" ca="1" si="5"/>
        <v>-40.333333333333002</v>
      </c>
      <c r="N53">
        <f t="shared" ca="1" si="6"/>
        <v>-81.407407407406353</v>
      </c>
      <c r="O53">
        <f t="shared" ca="1" si="7"/>
        <v>-773.3333333333162</v>
      </c>
      <c r="P53">
        <f t="shared" ca="1" si="8"/>
        <v>49.296296296295687</v>
      </c>
      <c r="Q53">
        <f t="shared" ca="1" si="9"/>
        <v>3.6666666666666514</v>
      </c>
      <c r="R53">
        <f t="shared" ca="1" si="10"/>
        <v>0.59936328097424707</v>
      </c>
      <c r="S53">
        <f t="shared" ca="1" si="11"/>
        <v>-3.6666666666666514</v>
      </c>
      <c r="T53">
        <f t="shared" ca="1" si="12"/>
        <v>0.98010872128129278</v>
      </c>
      <c r="U53">
        <f t="shared" ca="1" si="13"/>
        <v>0.34374508491765693</v>
      </c>
      <c r="V53">
        <f t="shared" ca="1" si="14"/>
        <v>2.333333333333321</v>
      </c>
      <c r="W53">
        <f t="shared" ca="1" si="15"/>
        <v>9.5207972893961053</v>
      </c>
      <c r="X53">
        <f t="shared" ca="1" si="16"/>
        <v>-2.5207972893961412</v>
      </c>
      <c r="Y53">
        <f t="shared" ca="1" si="17"/>
        <v>0</v>
      </c>
      <c r="Z53" t="e">
        <f t="shared" ca="1" si="18"/>
        <v>#NUM!</v>
      </c>
      <c r="AA53" t="e">
        <f t="shared" ca="1" si="19"/>
        <v>#NUM!</v>
      </c>
      <c r="AB53" t="e">
        <f t="shared" ca="1" si="20"/>
        <v>#NUM!</v>
      </c>
      <c r="AC53" t="e">
        <f t="shared" ca="1" si="21"/>
        <v>#NUM!</v>
      </c>
      <c r="AD53" t="e">
        <f t="shared" ca="1" si="22"/>
        <v>#NUM!</v>
      </c>
      <c r="AE53">
        <f t="shared" ca="1" si="23"/>
        <v>0</v>
      </c>
    </row>
    <row r="54" spans="1:31" x14ac:dyDescent="0.2">
      <c r="A54" s="6"/>
      <c r="B54" s="7" t="str">
        <f t="shared" si="24"/>
        <v/>
      </c>
      <c r="C54">
        <f ca="1">IF(A54&lt;1,LOOKUP(A54,Computations!$C$2:$C$100,Computations!$A$2:$A$100),n)</f>
        <v>2</v>
      </c>
      <c r="D54">
        <f t="shared" ca="1" si="0"/>
        <v>1.4999999999999999E-2</v>
      </c>
      <c r="E54">
        <f t="shared" ca="1" si="1"/>
        <v>0.03</v>
      </c>
      <c r="F54">
        <f t="shared" ca="1" si="25"/>
        <v>-1.6666666666666774E-3</v>
      </c>
      <c r="G54">
        <f t="shared" ca="1" si="26"/>
        <v>1.1666666666666679E-2</v>
      </c>
      <c r="H54">
        <f t="shared" ca="1" si="27"/>
        <v>0.04</v>
      </c>
      <c r="I54">
        <f t="shared" ca="1" si="28"/>
        <v>0</v>
      </c>
      <c r="J54">
        <f t="shared" ca="1" si="2"/>
        <v>0</v>
      </c>
      <c r="K54">
        <f t="shared" ca="1" si="3"/>
        <v>0</v>
      </c>
      <c r="L54">
        <f t="shared" ca="1" si="4"/>
        <v>0</v>
      </c>
      <c r="M54">
        <f t="shared" ca="1" si="5"/>
        <v>-40.333333333333002</v>
      </c>
      <c r="N54">
        <f t="shared" ca="1" si="6"/>
        <v>-81.407407407406353</v>
      </c>
      <c r="O54">
        <f t="shared" ca="1" si="7"/>
        <v>-773.3333333333162</v>
      </c>
      <c r="P54">
        <f t="shared" ca="1" si="8"/>
        <v>49.296296296295687</v>
      </c>
      <c r="Q54">
        <f t="shared" ca="1" si="9"/>
        <v>3.6666666666666514</v>
      </c>
      <c r="R54">
        <f t="shared" ca="1" si="10"/>
        <v>0.59936328097424707</v>
      </c>
      <c r="S54">
        <f t="shared" ca="1" si="11"/>
        <v>-3.6666666666666514</v>
      </c>
      <c r="T54">
        <f t="shared" ca="1" si="12"/>
        <v>0.98010872128129278</v>
      </c>
      <c r="U54">
        <f t="shared" ca="1" si="13"/>
        <v>0.34374508491765693</v>
      </c>
      <c r="V54">
        <f t="shared" ca="1" si="14"/>
        <v>2.333333333333321</v>
      </c>
      <c r="W54">
        <f t="shared" ca="1" si="15"/>
        <v>9.5207972893961053</v>
      </c>
      <c r="X54">
        <f t="shared" ca="1" si="16"/>
        <v>-2.5207972893961412</v>
      </c>
      <c r="Y54">
        <f t="shared" ca="1" si="17"/>
        <v>0</v>
      </c>
      <c r="Z54" t="e">
        <f t="shared" ca="1" si="18"/>
        <v>#NUM!</v>
      </c>
      <c r="AA54" t="e">
        <f t="shared" ca="1" si="19"/>
        <v>#NUM!</v>
      </c>
      <c r="AB54" t="e">
        <f t="shared" ca="1" si="20"/>
        <v>#NUM!</v>
      </c>
      <c r="AC54" t="e">
        <f t="shared" ca="1" si="21"/>
        <v>#NUM!</v>
      </c>
      <c r="AD54" t="e">
        <f t="shared" ca="1" si="22"/>
        <v>#NUM!</v>
      </c>
      <c r="AE54">
        <f t="shared" ca="1" si="23"/>
        <v>0</v>
      </c>
    </row>
    <row r="55" spans="1:31" x14ac:dyDescent="0.2">
      <c r="A55" s="6"/>
      <c r="B55" s="7" t="str">
        <f t="shared" si="24"/>
        <v/>
      </c>
      <c r="C55">
        <f ca="1">IF(A55&lt;1,LOOKUP(A55,Computations!$C$2:$C$100,Computations!$A$2:$A$100),n)</f>
        <v>2</v>
      </c>
      <c r="D55">
        <f t="shared" ca="1" si="0"/>
        <v>1.4999999999999999E-2</v>
      </c>
      <c r="E55">
        <f t="shared" ca="1" si="1"/>
        <v>0.03</v>
      </c>
      <c r="F55">
        <f t="shared" ca="1" si="25"/>
        <v>-1.6666666666666774E-3</v>
      </c>
      <c r="G55">
        <f t="shared" ca="1" si="26"/>
        <v>1.1666666666666679E-2</v>
      </c>
      <c r="H55">
        <f t="shared" ca="1" si="27"/>
        <v>0.04</v>
      </c>
      <c r="I55">
        <f t="shared" ca="1" si="28"/>
        <v>0</v>
      </c>
      <c r="J55">
        <f t="shared" ca="1" si="2"/>
        <v>0</v>
      </c>
      <c r="K55">
        <f t="shared" ca="1" si="3"/>
        <v>0</v>
      </c>
      <c r="L55">
        <f t="shared" ca="1" si="4"/>
        <v>0</v>
      </c>
      <c r="M55">
        <f t="shared" ca="1" si="5"/>
        <v>-40.333333333333002</v>
      </c>
      <c r="N55">
        <f t="shared" ca="1" si="6"/>
        <v>-81.407407407406353</v>
      </c>
      <c r="O55">
        <f t="shared" ca="1" si="7"/>
        <v>-773.3333333333162</v>
      </c>
      <c r="P55">
        <f t="shared" ca="1" si="8"/>
        <v>49.296296296295687</v>
      </c>
      <c r="Q55">
        <f t="shared" ca="1" si="9"/>
        <v>3.6666666666666514</v>
      </c>
      <c r="R55">
        <f t="shared" ca="1" si="10"/>
        <v>0.59936328097424707</v>
      </c>
      <c r="S55">
        <f t="shared" ca="1" si="11"/>
        <v>-3.6666666666666514</v>
      </c>
      <c r="T55">
        <f t="shared" ca="1" si="12"/>
        <v>0.98010872128129278</v>
      </c>
      <c r="U55">
        <f t="shared" ca="1" si="13"/>
        <v>0.34374508491765693</v>
      </c>
      <c r="V55">
        <f t="shared" ca="1" si="14"/>
        <v>2.333333333333321</v>
      </c>
      <c r="W55">
        <f t="shared" ca="1" si="15"/>
        <v>9.5207972893961053</v>
      </c>
      <c r="X55">
        <f t="shared" ca="1" si="16"/>
        <v>-2.5207972893961412</v>
      </c>
      <c r="Y55">
        <f t="shared" ca="1" si="17"/>
        <v>0</v>
      </c>
      <c r="Z55" t="e">
        <f t="shared" ca="1" si="18"/>
        <v>#NUM!</v>
      </c>
      <c r="AA55" t="e">
        <f t="shared" ca="1" si="19"/>
        <v>#NUM!</v>
      </c>
      <c r="AB55" t="e">
        <f t="shared" ca="1" si="20"/>
        <v>#NUM!</v>
      </c>
      <c r="AC55" t="e">
        <f t="shared" ca="1" si="21"/>
        <v>#NUM!</v>
      </c>
      <c r="AD55" t="e">
        <f t="shared" ca="1" si="22"/>
        <v>#NUM!</v>
      </c>
      <c r="AE55">
        <f t="shared" ca="1" si="23"/>
        <v>0</v>
      </c>
    </row>
    <row r="56" spans="1:31" x14ac:dyDescent="0.2">
      <c r="A56" s="6"/>
      <c r="B56" s="7" t="str">
        <f t="shared" si="24"/>
        <v/>
      </c>
      <c r="C56">
        <f ca="1">IF(A56&lt;1,LOOKUP(A56,Computations!$C$2:$C$100,Computations!$A$2:$A$100),n)</f>
        <v>2</v>
      </c>
      <c r="D56">
        <f t="shared" ca="1" si="0"/>
        <v>1.4999999999999999E-2</v>
      </c>
      <c r="E56">
        <f t="shared" ca="1" si="1"/>
        <v>0.03</v>
      </c>
      <c r="F56">
        <f t="shared" ca="1" si="25"/>
        <v>-1.6666666666666774E-3</v>
      </c>
      <c r="G56">
        <f t="shared" ca="1" si="26"/>
        <v>1.1666666666666679E-2</v>
      </c>
      <c r="H56">
        <f t="shared" ca="1" si="27"/>
        <v>0.04</v>
      </c>
      <c r="I56">
        <f t="shared" ca="1" si="28"/>
        <v>0</v>
      </c>
      <c r="J56">
        <f t="shared" ca="1" si="2"/>
        <v>0</v>
      </c>
      <c r="K56">
        <f t="shared" ca="1" si="3"/>
        <v>0</v>
      </c>
      <c r="L56">
        <f t="shared" ca="1" si="4"/>
        <v>0</v>
      </c>
      <c r="M56">
        <f t="shared" ca="1" si="5"/>
        <v>-40.333333333333002</v>
      </c>
      <c r="N56">
        <f t="shared" ca="1" si="6"/>
        <v>-81.407407407406353</v>
      </c>
      <c r="O56">
        <f t="shared" ca="1" si="7"/>
        <v>-773.3333333333162</v>
      </c>
      <c r="P56">
        <f t="shared" ca="1" si="8"/>
        <v>49.296296296295687</v>
      </c>
      <c r="Q56">
        <f t="shared" ca="1" si="9"/>
        <v>3.6666666666666514</v>
      </c>
      <c r="R56">
        <f t="shared" ca="1" si="10"/>
        <v>0.59936328097424707</v>
      </c>
      <c r="S56">
        <f t="shared" ca="1" si="11"/>
        <v>-3.6666666666666514</v>
      </c>
      <c r="T56">
        <f t="shared" ca="1" si="12"/>
        <v>0.98010872128129278</v>
      </c>
      <c r="U56">
        <f t="shared" ca="1" si="13"/>
        <v>0.34374508491765693</v>
      </c>
      <c r="V56">
        <f t="shared" ca="1" si="14"/>
        <v>2.333333333333321</v>
      </c>
      <c r="W56">
        <f t="shared" ca="1" si="15"/>
        <v>9.5207972893961053</v>
      </c>
      <c r="X56">
        <f t="shared" ca="1" si="16"/>
        <v>-2.5207972893961412</v>
      </c>
      <c r="Y56">
        <f t="shared" ca="1" si="17"/>
        <v>0</v>
      </c>
      <c r="Z56" t="e">
        <f t="shared" ca="1" si="18"/>
        <v>#NUM!</v>
      </c>
      <c r="AA56" t="e">
        <f t="shared" ca="1" si="19"/>
        <v>#NUM!</v>
      </c>
      <c r="AB56" t="e">
        <f t="shared" ca="1" si="20"/>
        <v>#NUM!</v>
      </c>
      <c r="AC56" t="e">
        <f t="shared" ca="1" si="21"/>
        <v>#NUM!</v>
      </c>
      <c r="AD56" t="e">
        <f t="shared" ca="1" si="22"/>
        <v>#NUM!</v>
      </c>
      <c r="AE56">
        <f t="shared" ca="1" si="23"/>
        <v>0</v>
      </c>
    </row>
    <row r="57" spans="1:31" x14ac:dyDescent="0.2">
      <c r="A57" s="6"/>
      <c r="B57" s="7" t="str">
        <f t="shared" si="24"/>
        <v/>
      </c>
      <c r="C57">
        <f ca="1">IF(A57&lt;1,LOOKUP(A57,Computations!$C$2:$C$100,Computations!$A$2:$A$100),n)</f>
        <v>2</v>
      </c>
      <c r="D57">
        <f t="shared" ca="1" si="0"/>
        <v>1.4999999999999999E-2</v>
      </c>
      <c r="E57">
        <f t="shared" ca="1" si="1"/>
        <v>0.03</v>
      </c>
      <c r="F57">
        <f t="shared" ca="1" si="25"/>
        <v>-1.6666666666666774E-3</v>
      </c>
      <c r="G57">
        <f t="shared" ca="1" si="26"/>
        <v>1.1666666666666679E-2</v>
      </c>
      <c r="H57">
        <f t="shared" ca="1" si="27"/>
        <v>0.04</v>
      </c>
      <c r="I57">
        <f t="shared" ca="1" si="28"/>
        <v>0</v>
      </c>
      <c r="J57">
        <f t="shared" ca="1" si="2"/>
        <v>0</v>
      </c>
      <c r="K57">
        <f t="shared" ca="1" si="3"/>
        <v>0</v>
      </c>
      <c r="L57">
        <f t="shared" ca="1" si="4"/>
        <v>0</v>
      </c>
      <c r="M57">
        <f t="shared" ca="1" si="5"/>
        <v>-40.333333333333002</v>
      </c>
      <c r="N57">
        <f t="shared" ca="1" si="6"/>
        <v>-81.407407407406353</v>
      </c>
      <c r="O57">
        <f t="shared" ca="1" si="7"/>
        <v>-773.3333333333162</v>
      </c>
      <c r="P57">
        <f t="shared" ca="1" si="8"/>
        <v>49.296296296295687</v>
      </c>
      <c r="Q57">
        <f t="shared" ca="1" si="9"/>
        <v>3.6666666666666514</v>
      </c>
      <c r="R57">
        <f t="shared" ca="1" si="10"/>
        <v>0.59936328097424707</v>
      </c>
      <c r="S57">
        <f t="shared" ca="1" si="11"/>
        <v>-3.6666666666666514</v>
      </c>
      <c r="T57">
        <f t="shared" ca="1" si="12"/>
        <v>0.98010872128129278</v>
      </c>
      <c r="U57">
        <f t="shared" ca="1" si="13"/>
        <v>0.34374508491765693</v>
      </c>
      <c r="V57">
        <f t="shared" ca="1" si="14"/>
        <v>2.333333333333321</v>
      </c>
      <c r="W57">
        <f t="shared" ca="1" si="15"/>
        <v>9.5207972893961053</v>
      </c>
      <c r="X57">
        <f t="shared" ca="1" si="16"/>
        <v>-2.5207972893961412</v>
      </c>
      <c r="Y57">
        <f t="shared" ca="1" si="17"/>
        <v>0</v>
      </c>
      <c r="Z57" t="e">
        <f t="shared" ca="1" si="18"/>
        <v>#NUM!</v>
      </c>
      <c r="AA57" t="e">
        <f t="shared" ca="1" si="19"/>
        <v>#NUM!</v>
      </c>
      <c r="AB57" t="e">
        <f t="shared" ca="1" si="20"/>
        <v>#NUM!</v>
      </c>
      <c r="AC57" t="e">
        <f t="shared" ca="1" si="21"/>
        <v>#NUM!</v>
      </c>
      <c r="AD57" t="e">
        <f t="shared" ca="1" si="22"/>
        <v>#NUM!</v>
      </c>
      <c r="AE57">
        <f t="shared" ca="1" si="23"/>
        <v>0</v>
      </c>
    </row>
    <row r="58" spans="1:31" x14ac:dyDescent="0.2">
      <c r="A58" s="6"/>
      <c r="B58" s="7" t="str">
        <f t="shared" si="24"/>
        <v/>
      </c>
      <c r="C58">
        <f ca="1">IF(A58&lt;1,LOOKUP(A58,Computations!$C$2:$C$100,Computations!$A$2:$A$100),n)</f>
        <v>2</v>
      </c>
      <c r="D58">
        <f t="shared" ca="1" si="0"/>
        <v>1.4999999999999999E-2</v>
      </c>
      <c r="E58">
        <f t="shared" ca="1" si="1"/>
        <v>0.03</v>
      </c>
      <c r="F58">
        <f t="shared" ca="1" si="25"/>
        <v>-1.6666666666666774E-3</v>
      </c>
      <c r="G58">
        <f t="shared" ca="1" si="26"/>
        <v>1.1666666666666679E-2</v>
      </c>
      <c r="H58">
        <f t="shared" ca="1" si="27"/>
        <v>0.04</v>
      </c>
      <c r="I58">
        <f t="shared" ca="1" si="28"/>
        <v>0</v>
      </c>
      <c r="J58">
        <f t="shared" ca="1" si="2"/>
        <v>0</v>
      </c>
      <c r="K58">
        <f t="shared" ca="1" si="3"/>
        <v>0</v>
      </c>
      <c r="L58">
        <f t="shared" ca="1" si="4"/>
        <v>0</v>
      </c>
      <c r="M58">
        <f t="shared" ca="1" si="5"/>
        <v>-40.333333333333002</v>
      </c>
      <c r="N58">
        <f t="shared" ca="1" si="6"/>
        <v>-81.407407407406353</v>
      </c>
      <c r="O58">
        <f t="shared" ca="1" si="7"/>
        <v>-773.3333333333162</v>
      </c>
      <c r="P58">
        <f t="shared" ca="1" si="8"/>
        <v>49.296296296295687</v>
      </c>
      <c r="Q58">
        <f t="shared" ca="1" si="9"/>
        <v>3.6666666666666514</v>
      </c>
      <c r="R58">
        <f t="shared" ca="1" si="10"/>
        <v>0.59936328097424707</v>
      </c>
      <c r="S58">
        <f t="shared" ca="1" si="11"/>
        <v>-3.6666666666666514</v>
      </c>
      <c r="T58">
        <f t="shared" ca="1" si="12"/>
        <v>0.98010872128129278</v>
      </c>
      <c r="U58">
        <f t="shared" ca="1" si="13"/>
        <v>0.34374508491765693</v>
      </c>
      <c r="V58">
        <f t="shared" ca="1" si="14"/>
        <v>2.333333333333321</v>
      </c>
      <c r="W58">
        <f t="shared" ca="1" si="15"/>
        <v>9.5207972893961053</v>
      </c>
      <c r="X58">
        <f t="shared" ca="1" si="16"/>
        <v>-2.5207972893961412</v>
      </c>
      <c r="Y58">
        <f t="shared" ca="1" si="17"/>
        <v>0</v>
      </c>
      <c r="Z58" t="e">
        <f t="shared" ca="1" si="18"/>
        <v>#NUM!</v>
      </c>
      <c r="AA58" t="e">
        <f t="shared" ca="1" si="19"/>
        <v>#NUM!</v>
      </c>
      <c r="AB58" t="e">
        <f t="shared" ca="1" si="20"/>
        <v>#NUM!</v>
      </c>
      <c r="AC58" t="e">
        <f t="shared" ca="1" si="21"/>
        <v>#NUM!</v>
      </c>
      <c r="AD58" t="e">
        <f t="shared" ca="1" si="22"/>
        <v>#NUM!</v>
      </c>
      <c r="AE58">
        <f t="shared" ca="1" si="23"/>
        <v>0</v>
      </c>
    </row>
    <row r="59" spans="1:31" x14ac:dyDescent="0.2">
      <c r="A59" s="6"/>
      <c r="B59" s="7" t="str">
        <f t="shared" si="24"/>
        <v/>
      </c>
      <c r="C59">
        <f ca="1">IF(A59&lt;1,LOOKUP(A59,Computations!$C$2:$C$100,Computations!$A$2:$A$100),n)</f>
        <v>2</v>
      </c>
      <c r="D59">
        <f t="shared" ca="1" si="0"/>
        <v>1.4999999999999999E-2</v>
      </c>
      <c r="E59">
        <f t="shared" ca="1" si="1"/>
        <v>0.03</v>
      </c>
      <c r="F59">
        <f t="shared" ca="1" si="25"/>
        <v>-1.6666666666666774E-3</v>
      </c>
      <c r="G59">
        <f t="shared" ca="1" si="26"/>
        <v>1.1666666666666679E-2</v>
      </c>
      <c r="H59">
        <f t="shared" ca="1" si="27"/>
        <v>0.04</v>
      </c>
      <c r="I59">
        <f t="shared" ca="1" si="28"/>
        <v>0</v>
      </c>
      <c r="J59">
        <f t="shared" ca="1" si="2"/>
        <v>0</v>
      </c>
      <c r="K59">
        <f t="shared" ca="1" si="3"/>
        <v>0</v>
      </c>
      <c r="L59">
        <f t="shared" ca="1" si="4"/>
        <v>0</v>
      </c>
      <c r="M59">
        <f t="shared" ca="1" si="5"/>
        <v>-40.333333333333002</v>
      </c>
      <c r="N59">
        <f t="shared" ca="1" si="6"/>
        <v>-81.407407407406353</v>
      </c>
      <c r="O59">
        <f t="shared" ca="1" si="7"/>
        <v>-773.3333333333162</v>
      </c>
      <c r="P59">
        <f t="shared" ca="1" si="8"/>
        <v>49.296296296295687</v>
      </c>
      <c r="Q59">
        <f t="shared" ca="1" si="9"/>
        <v>3.6666666666666514</v>
      </c>
      <c r="R59">
        <f t="shared" ca="1" si="10"/>
        <v>0.59936328097424707</v>
      </c>
      <c r="S59">
        <f t="shared" ca="1" si="11"/>
        <v>-3.6666666666666514</v>
      </c>
      <c r="T59">
        <f t="shared" ca="1" si="12"/>
        <v>0.98010872128129278</v>
      </c>
      <c r="U59">
        <f t="shared" ca="1" si="13"/>
        <v>0.34374508491765693</v>
      </c>
      <c r="V59">
        <f t="shared" ca="1" si="14"/>
        <v>2.333333333333321</v>
      </c>
      <c r="W59">
        <f t="shared" ca="1" si="15"/>
        <v>9.5207972893961053</v>
      </c>
      <c r="X59">
        <f t="shared" ca="1" si="16"/>
        <v>-2.5207972893961412</v>
      </c>
      <c r="Y59">
        <f t="shared" ca="1" si="17"/>
        <v>0</v>
      </c>
      <c r="Z59" t="e">
        <f t="shared" ca="1" si="18"/>
        <v>#NUM!</v>
      </c>
      <c r="AA59" t="e">
        <f t="shared" ca="1" si="19"/>
        <v>#NUM!</v>
      </c>
      <c r="AB59" t="e">
        <f t="shared" ca="1" si="20"/>
        <v>#NUM!</v>
      </c>
      <c r="AC59" t="e">
        <f t="shared" ca="1" si="21"/>
        <v>#NUM!</v>
      </c>
      <c r="AD59" t="e">
        <f t="shared" ca="1" si="22"/>
        <v>#NUM!</v>
      </c>
      <c r="AE59">
        <f t="shared" ca="1" si="23"/>
        <v>0</v>
      </c>
    </row>
    <row r="60" spans="1:31" x14ac:dyDescent="0.2">
      <c r="A60" s="6"/>
      <c r="B60" s="7" t="str">
        <f t="shared" si="24"/>
        <v/>
      </c>
      <c r="C60">
        <f ca="1">IF(A60&lt;1,LOOKUP(A60,Computations!$C$2:$C$100,Computations!$A$2:$A$100),n)</f>
        <v>2</v>
      </c>
      <c r="D60">
        <f t="shared" ca="1" si="0"/>
        <v>1.4999999999999999E-2</v>
      </c>
      <c r="E60">
        <f t="shared" ca="1" si="1"/>
        <v>0.03</v>
      </c>
      <c r="F60">
        <f t="shared" ca="1" si="25"/>
        <v>-1.6666666666666774E-3</v>
      </c>
      <c r="G60">
        <f t="shared" ca="1" si="26"/>
        <v>1.1666666666666679E-2</v>
      </c>
      <c r="H60">
        <f t="shared" ca="1" si="27"/>
        <v>0.04</v>
      </c>
      <c r="I60">
        <f t="shared" ca="1" si="28"/>
        <v>0</v>
      </c>
      <c r="J60">
        <f t="shared" ca="1" si="2"/>
        <v>0</v>
      </c>
      <c r="K60">
        <f t="shared" ca="1" si="3"/>
        <v>0</v>
      </c>
      <c r="L60">
        <f t="shared" ca="1" si="4"/>
        <v>0</v>
      </c>
      <c r="M60">
        <f t="shared" ca="1" si="5"/>
        <v>-40.333333333333002</v>
      </c>
      <c r="N60">
        <f t="shared" ca="1" si="6"/>
        <v>-81.407407407406353</v>
      </c>
      <c r="O60">
        <f t="shared" ca="1" si="7"/>
        <v>-773.3333333333162</v>
      </c>
      <c r="P60">
        <f t="shared" ca="1" si="8"/>
        <v>49.296296296295687</v>
      </c>
      <c r="Q60">
        <f t="shared" ca="1" si="9"/>
        <v>3.6666666666666514</v>
      </c>
      <c r="R60">
        <f t="shared" ca="1" si="10"/>
        <v>0.59936328097424707</v>
      </c>
      <c r="S60">
        <f t="shared" ca="1" si="11"/>
        <v>-3.6666666666666514</v>
      </c>
      <c r="T60">
        <f t="shared" ca="1" si="12"/>
        <v>0.98010872128129278</v>
      </c>
      <c r="U60">
        <f t="shared" ca="1" si="13"/>
        <v>0.34374508491765693</v>
      </c>
      <c r="V60">
        <f t="shared" ca="1" si="14"/>
        <v>2.333333333333321</v>
      </c>
      <c r="W60">
        <f t="shared" ca="1" si="15"/>
        <v>9.5207972893961053</v>
      </c>
      <c r="X60">
        <f t="shared" ca="1" si="16"/>
        <v>-2.5207972893961412</v>
      </c>
      <c r="Y60">
        <f t="shared" ca="1" si="17"/>
        <v>0</v>
      </c>
      <c r="Z60" t="e">
        <f t="shared" ca="1" si="18"/>
        <v>#NUM!</v>
      </c>
      <c r="AA60" t="e">
        <f t="shared" ca="1" si="19"/>
        <v>#NUM!</v>
      </c>
      <c r="AB60" t="e">
        <f t="shared" ca="1" si="20"/>
        <v>#NUM!</v>
      </c>
      <c r="AC60" t="e">
        <f t="shared" ca="1" si="21"/>
        <v>#NUM!</v>
      </c>
      <c r="AD60" t="e">
        <f t="shared" ca="1" si="22"/>
        <v>#NUM!</v>
      </c>
      <c r="AE60">
        <f t="shared" ca="1" si="23"/>
        <v>0</v>
      </c>
    </row>
    <row r="61" spans="1:31" x14ac:dyDescent="0.2">
      <c r="A61" s="6"/>
      <c r="B61" s="7" t="str">
        <f t="shared" si="24"/>
        <v/>
      </c>
      <c r="C61">
        <f ca="1">IF(A61&lt;1,LOOKUP(A61,Computations!$C$2:$C$100,Computations!$A$2:$A$100),n)</f>
        <v>2</v>
      </c>
      <c r="D61">
        <f t="shared" ca="1" si="0"/>
        <v>1.4999999999999999E-2</v>
      </c>
      <c r="E61">
        <f t="shared" ca="1" si="1"/>
        <v>0.03</v>
      </c>
      <c r="F61">
        <f t="shared" ca="1" si="25"/>
        <v>-1.6666666666666774E-3</v>
      </c>
      <c r="G61">
        <f t="shared" ca="1" si="26"/>
        <v>1.1666666666666679E-2</v>
      </c>
      <c r="H61">
        <f t="shared" ca="1" si="27"/>
        <v>0.04</v>
      </c>
      <c r="I61">
        <f t="shared" ca="1" si="28"/>
        <v>0</v>
      </c>
      <c r="J61">
        <f t="shared" ca="1" si="2"/>
        <v>0</v>
      </c>
      <c r="K61">
        <f t="shared" ca="1" si="3"/>
        <v>0</v>
      </c>
      <c r="L61">
        <f t="shared" ca="1" si="4"/>
        <v>0</v>
      </c>
      <c r="M61">
        <f t="shared" ca="1" si="5"/>
        <v>-40.333333333333002</v>
      </c>
      <c r="N61">
        <f t="shared" ca="1" si="6"/>
        <v>-81.407407407406353</v>
      </c>
      <c r="O61">
        <f t="shared" ca="1" si="7"/>
        <v>-773.3333333333162</v>
      </c>
      <c r="P61">
        <f t="shared" ca="1" si="8"/>
        <v>49.296296296295687</v>
      </c>
      <c r="Q61">
        <f t="shared" ca="1" si="9"/>
        <v>3.6666666666666514</v>
      </c>
      <c r="R61">
        <f t="shared" ca="1" si="10"/>
        <v>0.59936328097424707</v>
      </c>
      <c r="S61">
        <f t="shared" ca="1" si="11"/>
        <v>-3.6666666666666514</v>
      </c>
      <c r="T61">
        <f t="shared" ca="1" si="12"/>
        <v>0.98010872128129278</v>
      </c>
      <c r="U61">
        <f t="shared" ca="1" si="13"/>
        <v>0.34374508491765693</v>
      </c>
      <c r="V61">
        <f t="shared" ca="1" si="14"/>
        <v>2.333333333333321</v>
      </c>
      <c r="W61">
        <f t="shared" ca="1" si="15"/>
        <v>9.5207972893961053</v>
      </c>
      <c r="X61">
        <f t="shared" ca="1" si="16"/>
        <v>-2.5207972893961412</v>
      </c>
      <c r="Y61">
        <f t="shared" ca="1" si="17"/>
        <v>0</v>
      </c>
      <c r="Z61" t="e">
        <f t="shared" ca="1" si="18"/>
        <v>#NUM!</v>
      </c>
      <c r="AA61" t="e">
        <f t="shared" ca="1" si="19"/>
        <v>#NUM!</v>
      </c>
      <c r="AB61" t="e">
        <f t="shared" ca="1" si="20"/>
        <v>#NUM!</v>
      </c>
      <c r="AC61" t="e">
        <f t="shared" ca="1" si="21"/>
        <v>#NUM!</v>
      </c>
      <c r="AD61" t="e">
        <f t="shared" ca="1" si="22"/>
        <v>#NUM!</v>
      </c>
      <c r="AE61">
        <f t="shared" ca="1" si="23"/>
        <v>0</v>
      </c>
    </row>
    <row r="62" spans="1:31" x14ac:dyDescent="0.2">
      <c r="A62" s="6"/>
      <c r="B62" s="7" t="str">
        <f t="shared" si="24"/>
        <v/>
      </c>
      <c r="C62">
        <f ca="1">IF(A62&lt;1,LOOKUP(A62,Computations!$C$2:$C$100,Computations!$A$2:$A$100),n)</f>
        <v>2</v>
      </c>
      <c r="D62">
        <f t="shared" ca="1" si="0"/>
        <v>1.4999999999999999E-2</v>
      </c>
      <c r="E62">
        <f t="shared" ca="1" si="1"/>
        <v>0.03</v>
      </c>
      <c r="F62">
        <f t="shared" ca="1" si="25"/>
        <v>-1.6666666666666774E-3</v>
      </c>
      <c r="G62">
        <f t="shared" ca="1" si="26"/>
        <v>1.1666666666666679E-2</v>
      </c>
      <c r="H62">
        <f t="shared" ca="1" si="27"/>
        <v>0.04</v>
      </c>
      <c r="I62">
        <f t="shared" ca="1" si="28"/>
        <v>0</v>
      </c>
      <c r="J62">
        <f t="shared" ca="1" si="2"/>
        <v>0</v>
      </c>
      <c r="K62">
        <f t="shared" ca="1" si="3"/>
        <v>0</v>
      </c>
      <c r="L62">
        <f t="shared" ca="1" si="4"/>
        <v>0</v>
      </c>
      <c r="M62">
        <f t="shared" ca="1" si="5"/>
        <v>-40.333333333333002</v>
      </c>
      <c r="N62">
        <f t="shared" ca="1" si="6"/>
        <v>-81.407407407406353</v>
      </c>
      <c r="O62">
        <f t="shared" ca="1" si="7"/>
        <v>-773.3333333333162</v>
      </c>
      <c r="P62">
        <f t="shared" ca="1" si="8"/>
        <v>49.296296296295687</v>
      </c>
      <c r="Q62">
        <f t="shared" ca="1" si="9"/>
        <v>3.6666666666666514</v>
      </c>
      <c r="R62">
        <f t="shared" ca="1" si="10"/>
        <v>0.59936328097424707</v>
      </c>
      <c r="S62">
        <f t="shared" ca="1" si="11"/>
        <v>-3.6666666666666514</v>
      </c>
      <c r="T62">
        <f t="shared" ca="1" si="12"/>
        <v>0.98010872128129278</v>
      </c>
      <c r="U62">
        <f t="shared" ca="1" si="13"/>
        <v>0.34374508491765693</v>
      </c>
      <c r="V62">
        <f t="shared" ca="1" si="14"/>
        <v>2.333333333333321</v>
      </c>
      <c r="W62">
        <f t="shared" ca="1" si="15"/>
        <v>9.5207972893961053</v>
      </c>
      <c r="X62">
        <f t="shared" ca="1" si="16"/>
        <v>-2.5207972893961412</v>
      </c>
      <c r="Y62">
        <f t="shared" ca="1" si="17"/>
        <v>0</v>
      </c>
      <c r="Z62" t="e">
        <f t="shared" ca="1" si="18"/>
        <v>#NUM!</v>
      </c>
      <c r="AA62" t="e">
        <f t="shared" ca="1" si="19"/>
        <v>#NUM!</v>
      </c>
      <c r="AB62" t="e">
        <f t="shared" ca="1" si="20"/>
        <v>#NUM!</v>
      </c>
      <c r="AC62" t="e">
        <f t="shared" ca="1" si="21"/>
        <v>#NUM!</v>
      </c>
      <c r="AD62" t="e">
        <f t="shared" ca="1" si="22"/>
        <v>#NUM!</v>
      </c>
      <c r="AE62">
        <f t="shared" ca="1" si="23"/>
        <v>0</v>
      </c>
    </row>
    <row r="63" spans="1:31" x14ac:dyDescent="0.2">
      <c r="A63" s="6"/>
      <c r="B63" s="7" t="str">
        <f t="shared" si="24"/>
        <v/>
      </c>
      <c r="C63">
        <f ca="1">IF(A63&lt;1,LOOKUP(A63,Computations!$C$2:$C$100,Computations!$A$2:$A$100),n)</f>
        <v>2</v>
      </c>
      <c r="D63">
        <f t="shared" ca="1" si="0"/>
        <v>1.4999999999999999E-2</v>
      </c>
      <c r="E63">
        <f t="shared" ca="1" si="1"/>
        <v>0.03</v>
      </c>
      <c r="F63">
        <f t="shared" ca="1" si="25"/>
        <v>-1.6666666666666774E-3</v>
      </c>
      <c r="G63">
        <f t="shared" ca="1" si="26"/>
        <v>1.1666666666666679E-2</v>
      </c>
      <c r="H63">
        <f t="shared" ca="1" si="27"/>
        <v>0.04</v>
      </c>
      <c r="I63">
        <f t="shared" ca="1" si="28"/>
        <v>0</v>
      </c>
      <c r="J63">
        <f t="shared" ca="1" si="2"/>
        <v>0</v>
      </c>
      <c r="K63">
        <f t="shared" ca="1" si="3"/>
        <v>0</v>
      </c>
      <c r="L63">
        <f t="shared" ca="1" si="4"/>
        <v>0</v>
      </c>
      <c r="M63">
        <f t="shared" ca="1" si="5"/>
        <v>-40.333333333333002</v>
      </c>
      <c r="N63">
        <f t="shared" ca="1" si="6"/>
        <v>-81.407407407406353</v>
      </c>
      <c r="O63">
        <f t="shared" ca="1" si="7"/>
        <v>-773.3333333333162</v>
      </c>
      <c r="P63">
        <f t="shared" ca="1" si="8"/>
        <v>49.296296296295687</v>
      </c>
      <c r="Q63">
        <f t="shared" ca="1" si="9"/>
        <v>3.6666666666666514</v>
      </c>
      <c r="R63">
        <f t="shared" ca="1" si="10"/>
        <v>0.59936328097424707</v>
      </c>
      <c r="S63">
        <f t="shared" ca="1" si="11"/>
        <v>-3.6666666666666514</v>
      </c>
      <c r="T63">
        <f t="shared" ca="1" si="12"/>
        <v>0.98010872128129278</v>
      </c>
      <c r="U63">
        <f t="shared" ca="1" si="13"/>
        <v>0.34374508491765693</v>
      </c>
      <c r="V63">
        <f t="shared" ca="1" si="14"/>
        <v>2.333333333333321</v>
      </c>
      <c r="W63">
        <f t="shared" ca="1" si="15"/>
        <v>9.5207972893961053</v>
      </c>
      <c r="X63">
        <f t="shared" ca="1" si="16"/>
        <v>-2.5207972893961412</v>
      </c>
      <c r="Y63">
        <f t="shared" ca="1" si="17"/>
        <v>0</v>
      </c>
      <c r="Z63" t="e">
        <f t="shared" ca="1" si="18"/>
        <v>#NUM!</v>
      </c>
      <c r="AA63" t="e">
        <f t="shared" ca="1" si="19"/>
        <v>#NUM!</v>
      </c>
      <c r="AB63" t="e">
        <f t="shared" ca="1" si="20"/>
        <v>#NUM!</v>
      </c>
      <c r="AC63" t="e">
        <f t="shared" ca="1" si="21"/>
        <v>#NUM!</v>
      </c>
      <c r="AD63" t="e">
        <f t="shared" ca="1" si="22"/>
        <v>#NUM!</v>
      </c>
      <c r="AE63">
        <f t="shared" ca="1" si="23"/>
        <v>0</v>
      </c>
    </row>
    <row r="64" spans="1:31" x14ac:dyDescent="0.2">
      <c r="A64" s="6"/>
      <c r="B64" s="7" t="str">
        <f t="shared" si="24"/>
        <v/>
      </c>
      <c r="C64">
        <f ca="1">IF(A64&lt;1,LOOKUP(A64,Computations!$C$2:$C$100,Computations!$A$2:$A$100),n)</f>
        <v>2</v>
      </c>
      <c r="D64">
        <f t="shared" ca="1" si="0"/>
        <v>1.4999999999999999E-2</v>
      </c>
      <c r="E64">
        <f t="shared" ca="1" si="1"/>
        <v>0.03</v>
      </c>
      <c r="F64">
        <f t="shared" ca="1" si="25"/>
        <v>-1.6666666666666774E-3</v>
      </c>
      <c r="G64">
        <f t="shared" ca="1" si="26"/>
        <v>1.1666666666666679E-2</v>
      </c>
      <c r="H64">
        <f t="shared" ca="1" si="27"/>
        <v>0.04</v>
      </c>
      <c r="I64">
        <f t="shared" ca="1" si="28"/>
        <v>0</v>
      </c>
      <c r="J64">
        <f t="shared" ca="1" si="2"/>
        <v>0</v>
      </c>
      <c r="K64">
        <f t="shared" ca="1" si="3"/>
        <v>0</v>
      </c>
      <c r="L64">
        <f t="shared" ca="1" si="4"/>
        <v>0</v>
      </c>
      <c r="M64">
        <f t="shared" ca="1" si="5"/>
        <v>-40.333333333333002</v>
      </c>
      <c r="N64">
        <f t="shared" ca="1" si="6"/>
        <v>-81.407407407406353</v>
      </c>
      <c r="O64">
        <f t="shared" ca="1" si="7"/>
        <v>-773.3333333333162</v>
      </c>
      <c r="P64">
        <f t="shared" ca="1" si="8"/>
        <v>49.296296296295687</v>
      </c>
      <c r="Q64">
        <f t="shared" ca="1" si="9"/>
        <v>3.6666666666666514</v>
      </c>
      <c r="R64">
        <f t="shared" ca="1" si="10"/>
        <v>0.59936328097424707</v>
      </c>
      <c r="S64">
        <f t="shared" ca="1" si="11"/>
        <v>-3.6666666666666514</v>
      </c>
      <c r="T64">
        <f t="shared" ca="1" si="12"/>
        <v>0.98010872128129278</v>
      </c>
      <c r="U64">
        <f t="shared" ca="1" si="13"/>
        <v>0.34374508491765693</v>
      </c>
      <c r="V64">
        <f t="shared" ca="1" si="14"/>
        <v>2.333333333333321</v>
      </c>
      <c r="W64">
        <f t="shared" ca="1" si="15"/>
        <v>9.5207972893961053</v>
      </c>
      <c r="X64">
        <f t="shared" ca="1" si="16"/>
        <v>-2.5207972893961412</v>
      </c>
      <c r="Y64">
        <f t="shared" ca="1" si="17"/>
        <v>0</v>
      </c>
      <c r="Z64" t="e">
        <f t="shared" ca="1" si="18"/>
        <v>#NUM!</v>
      </c>
      <c r="AA64" t="e">
        <f t="shared" ca="1" si="19"/>
        <v>#NUM!</v>
      </c>
      <c r="AB64" t="e">
        <f t="shared" ca="1" si="20"/>
        <v>#NUM!</v>
      </c>
      <c r="AC64" t="e">
        <f t="shared" ca="1" si="21"/>
        <v>#NUM!</v>
      </c>
      <c r="AD64" t="e">
        <f t="shared" ca="1" si="22"/>
        <v>#NUM!</v>
      </c>
      <c r="AE64">
        <f t="shared" ca="1" si="23"/>
        <v>0</v>
      </c>
    </row>
    <row r="65" spans="1:31" x14ac:dyDescent="0.2">
      <c r="A65" s="6"/>
      <c r="B65" s="7" t="str">
        <f t="shared" si="24"/>
        <v/>
      </c>
      <c r="C65">
        <f ca="1">IF(A65&lt;1,LOOKUP(A65,Computations!$C$2:$C$100,Computations!$A$2:$A$100),n)</f>
        <v>2</v>
      </c>
      <c r="D65">
        <f t="shared" ca="1" si="0"/>
        <v>1.4999999999999999E-2</v>
      </c>
      <c r="E65">
        <f t="shared" ca="1" si="1"/>
        <v>0.03</v>
      </c>
      <c r="F65">
        <f t="shared" ca="1" si="25"/>
        <v>-1.6666666666666774E-3</v>
      </c>
      <c r="G65">
        <f t="shared" ca="1" si="26"/>
        <v>1.1666666666666679E-2</v>
      </c>
      <c r="H65">
        <f t="shared" ca="1" si="27"/>
        <v>0.04</v>
      </c>
      <c r="I65">
        <f t="shared" ca="1" si="28"/>
        <v>0</v>
      </c>
      <c r="J65">
        <f t="shared" ca="1" si="2"/>
        <v>0</v>
      </c>
      <c r="K65">
        <f t="shared" ca="1" si="3"/>
        <v>0</v>
      </c>
      <c r="L65">
        <f t="shared" ca="1" si="4"/>
        <v>0</v>
      </c>
      <c r="M65">
        <f t="shared" ca="1" si="5"/>
        <v>-40.333333333333002</v>
      </c>
      <c r="N65">
        <f t="shared" ca="1" si="6"/>
        <v>-81.407407407406353</v>
      </c>
      <c r="O65">
        <f t="shared" ca="1" si="7"/>
        <v>-773.3333333333162</v>
      </c>
      <c r="P65">
        <f t="shared" ca="1" si="8"/>
        <v>49.296296296295687</v>
      </c>
      <c r="Q65">
        <f t="shared" ca="1" si="9"/>
        <v>3.6666666666666514</v>
      </c>
      <c r="R65">
        <f t="shared" ca="1" si="10"/>
        <v>0.59936328097424707</v>
      </c>
      <c r="S65">
        <f t="shared" ca="1" si="11"/>
        <v>-3.6666666666666514</v>
      </c>
      <c r="T65">
        <f t="shared" ca="1" si="12"/>
        <v>0.98010872128129278</v>
      </c>
      <c r="U65">
        <f t="shared" ca="1" si="13"/>
        <v>0.34374508491765693</v>
      </c>
      <c r="V65">
        <f t="shared" ca="1" si="14"/>
        <v>2.333333333333321</v>
      </c>
      <c r="W65">
        <f t="shared" ca="1" si="15"/>
        <v>9.5207972893961053</v>
      </c>
      <c r="X65">
        <f t="shared" ca="1" si="16"/>
        <v>-2.5207972893961412</v>
      </c>
      <c r="Y65">
        <f t="shared" ca="1" si="17"/>
        <v>0</v>
      </c>
      <c r="Z65" t="e">
        <f t="shared" ca="1" si="18"/>
        <v>#NUM!</v>
      </c>
      <c r="AA65" t="e">
        <f t="shared" ca="1" si="19"/>
        <v>#NUM!</v>
      </c>
      <c r="AB65" t="e">
        <f t="shared" ca="1" si="20"/>
        <v>#NUM!</v>
      </c>
      <c r="AC65" t="e">
        <f t="shared" ca="1" si="21"/>
        <v>#NUM!</v>
      </c>
      <c r="AD65" t="e">
        <f t="shared" ca="1" si="22"/>
        <v>#NUM!</v>
      </c>
      <c r="AE65">
        <f t="shared" ca="1" si="23"/>
        <v>0</v>
      </c>
    </row>
    <row r="66" spans="1:31" x14ac:dyDescent="0.2">
      <c r="A66" s="6"/>
      <c r="B66" s="7" t="str">
        <f t="shared" si="24"/>
        <v/>
      </c>
      <c r="C66">
        <f ca="1">IF(A66&lt;1,LOOKUP(A66,Computations!$C$2:$C$100,Computations!$A$2:$A$100),n)</f>
        <v>2</v>
      </c>
      <c r="D66">
        <f t="shared" ca="1" si="0"/>
        <v>1.4999999999999999E-2</v>
      </c>
      <c r="E66">
        <f t="shared" ca="1" si="1"/>
        <v>0.03</v>
      </c>
      <c r="F66">
        <f t="shared" ca="1" si="25"/>
        <v>-1.6666666666666774E-3</v>
      </c>
      <c r="G66">
        <f t="shared" ca="1" si="26"/>
        <v>1.1666666666666679E-2</v>
      </c>
      <c r="H66">
        <f t="shared" ca="1" si="27"/>
        <v>0.04</v>
      </c>
      <c r="I66">
        <f t="shared" ca="1" si="28"/>
        <v>0</v>
      </c>
      <c r="J66">
        <f t="shared" ca="1" si="2"/>
        <v>0</v>
      </c>
      <c r="K66">
        <f t="shared" ca="1" si="3"/>
        <v>0</v>
      </c>
      <c r="L66">
        <f t="shared" ca="1" si="4"/>
        <v>0</v>
      </c>
      <c r="M66">
        <f t="shared" ca="1" si="5"/>
        <v>-40.333333333333002</v>
      </c>
      <c r="N66">
        <f t="shared" ca="1" si="6"/>
        <v>-81.407407407406353</v>
      </c>
      <c r="O66">
        <f t="shared" ca="1" si="7"/>
        <v>-773.3333333333162</v>
      </c>
      <c r="P66">
        <f t="shared" ca="1" si="8"/>
        <v>49.296296296295687</v>
      </c>
      <c r="Q66">
        <f t="shared" ca="1" si="9"/>
        <v>3.6666666666666514</v>
      </c>
      <c r="R66">
        <f t="shared" ca="1" si="10"/>
        <v>0.59936328097424707</v>
      </c>
      <c r="S66">
        <f t="shared" ca="1" si="11"/>
        <v>-3.6666666666666514</v>
      </c>
      <c r="T66">
        <f t="shared" ca="1" si="12"/>
        <v>0.98010872128129278</v>
      </c>
      <c r="U66">
        <f t="shared" ca="1" si="13"/>
        <v>0.34374508491765693</v>
      </c>
      <c r="V66">
        <f t="shared" ca="1" si="14"/>
        <v>2.333333333333321</v>
      </c>
      <c r="W66">
        <f t="shared" ca="1" si="15"/>
        <v>9.5207972893961053</v>
      </c>
      <c r="X66">
        <f t="shared" ca="1" si="16"/>
        <v>-2.5207972893961412</v>
      </c>
      <c r="Y66">
        <f t="shared" ca="1" si="17"/>
        <v>0</v>
      </c>
      <c r="Z66" t="e">
        <f t="shared" ca="1" si="18"/>
        <v>#NUM!</v>
      </c>
      <c r="AA66" t="e">
        <f t="shared" ca="1" si="19"/>
        <v>#NUM!</v>
      </c>
      <c r="AB66" t="e">
        <f t="shared" ca="1" si="20"/>
        <v>#NUM!</v>
      </c>
      <c r="AC66" t="e">
        <f t="shared" ca="1" si="21"/>
        <v>#NUM!</v>
      </c>
      <c r="AD66" t="e">
        <f t="shared" ca="1" si="22"/>
        <v>#NUM!</v>
      </c>
      <c r="AE66">
        <f t="shared" ca="1" si="23"/>
        <v>0</v>
      </c>
    </row>
    <row r="67" spans="1:31" x14ac:dyDescent="0.2">
      <c r="A67" s="6"/>
      <c r="B67" s="7" t="str">
        <f t="shared" si="24"/>
        <v/>
      </c>
      <c r="C67">
        <f ca="1">IF(A67&lt;1,LOOKUP(A67,Computations!$C$2:$C$100,Computations!$A$2:$A$100),n)</f>
        <v>2</v>
      </c>
      <c r="D67">
        <f t="shared" ref="D67:D101" ca="1" si="29">INDIRECT("Computations!B"&amp;C67)</f>
        <v>1.4999999999999999E-2</v>
      </c>
      <c r="E67">
        <f t="shared" ref="E67:E101" ca="1" si="30">INDIRECT("Computations!B"&amp;(C67+1))</f>
        <v>0.03</v>
      </c>
      <c r="F67">
        <f t="shared" ref="F67:F101" ca="1" si="31">INDIRECT("Computations!S"&amp;C67)</f>
        <v>-1.6666666666666774E-3</v>
      </c>
      <c r="G67">
        <f t="shared" ref="G67:G101" ca="1" si="32">INDIRECT("Computations!R"&amp;C67)</f>
        <v>1.1666666666666679E-2</v>
      </c>
      <c r="H67">
        <f t="shared" ref="H67:H101" ca="1" si="33">INDIRECT("Computations!Q"&amp;C67)</f>
        <v>0.04</v>
      </c>
      <c r="I67">
        <f t="shared" ref="I67:I101" ca="1" si="34">INDIRECT("Computations!C"&amp;C67)-A67</f>
        <v>0</v>
      </c>
      <c r="J67">
        <f t="shared" ref="J67:J101" ca="1" si="35">-I67/H67</f>
        <v>0</v>
      </c>
      <c r="K67">
        <f t="shared" ref="K67:K101" ca="1" si="36">(-H67+SQRT(H67*H67-4*G67*I67))/(2*G67)</f>
        <v>0</v>
      </c>
      <c r="L67">
        <f t="shared" ref="L67:L101" ca="1" si="37">IF(AND(K67&gt;=0,K67&lt;=1),K67,(-H67-SQRT(H67*H67-4*G67*I67))/(2*G67))</f>
        <v>0</v>
      </c>
      <c r="M67">
        <f t="shared" ref="M67:M101" ca="1" si="38">H67/F67-G67^2/F67^2/3</f>
        <v>-40.333333333333002</v>
      </c>
      <c r="N67">
        <f t="shared" ref="N67:N101" ca="1" si="39">(2*G67^3/F67^3-9*G67*H67/F67^2+27*I67/F67)/27</f>
        <v>-81.407407407406353</v>
      </c>
      <c r="O67">
        <f t="shared" ref="O67:O101" ca="1" si="40">N67^2/4+M67^3/27</f>
        <v>-773.3333333333162</v>
      </c>
      <c r="P67">
        <f t="shared" ref="P67:P101" ca="1" si="41">SQRT(N67^2/4-O67)</f>
        <v>49.296296296295687</v>
      </c>
      <c r="Q67">
        <f t="shared" ref="Q67:Q101" ca="1" si="42">P67^(1/3)</f>
        <v>3.6666666666666514</v>
      </c>
      <c r="R67">
        <f t="shared" ref="R67:R101" ca="1" si="43">ACOS(-N67/2/P67)</f>
        <v>0.59936328097424707</v>
      </c>
      <c r="S67">
        <f t="shared" ref="S67:S101" ca="1" si="44">-Q67</f>
        <v>-3.6666666666666514</v>
      </c>
      <c r="T67">
        <f t="shared" ref="T67:T101" ca="1" si="45">COS(R67/3)</f>
        <v>0.98010872128129278</v>
      </c>
      <c r="U67">
        <f t="shared" ref="U67:U101" ca="1" si="46">SQRT(3)*SIN(R67/3)</f>
        <v>0.34374508491765693</v>
      </c>
      <c r="V67">
        <f t="shared" ref="V67:V101" ca="1" si="47">-G67/F67/3</f>
        <v>2.333333333333321</v>
      </c>
      <c r="W67">
        <f t="shared" ref="W67:W101" ca="1" si="48">2*Q67*T67+V67</f>
        <v>9.5207972893961053</v>
      </c>
      <c r="X67">
        <f t="shared" ref="X67:X101" ca="1" si="49">S67*(T67+U67)+V67</f>
        <v>-2.5207972893961412</v>
      </c>
      <c r="Y67">
        <f t="shared" ref="Y67:Y101" ca="1" si="50">S67*(T67-U67)+V67</f>
        <v>0</v>
      </c>
      <c r="Z67" t="e">
        <f t="shared" ref="Z67:Z101" ca="1" si="51">-N67/2+SQRT(O67)</f>
        <v>#NUM!</v>
      </c>
      <c r="AA67" t="e">
        <f t="shared" ref="AA67:AA101" ca="1" si="52">Z67^(1/3)</f>
        <v>#NUM!</v>
      </c>
      <c r="AB67" t="e">
        <f t="shared" ref="AB67:AB101" ca="1" si="53">-N67/2-SQRT(O67)</f>
        <v>#NUM!</v>
      </c>
      <c r="AC67" t="e">
        <f t="shared" ref="AC67:AC101" ca="1" si="54">AB67^(1/3)</f>
        <v>#NUM!</v>
      </c>
      <c r="AD67" t="e">
        <f t="shared" ref="AD67:AD101" ca="1" si="55">AA67+AC67+V67</f>
        <v>#NUM!</v>
      </c>
      <c r="AE67">
        <f t="shared" ref="AE67:AE101" ca="1" si="56">IF(F67=0,IF(G67=0,J67,L67),IF(O67&gt;0,AD67,IF(AND(W67&gt;=0,W67&lt;=1),W67,IF(AND(X67&gt;=0,X67&lt;=1),X67,Y67))))</f>
        <v>0</v>
      </c>
    </row>
    <row r="68" spans="1:31" x14ac:dyDescent="0.2">
      <c r="A68" s="6"/>
      <c r="B68" s="7" t="str">
        <f t="shared" ref="B68:B101" si="57">IF(AND(A68&lt;&gt;"",A68&gt;=0,A68&lt;=1),D68+AE68*(E68-D68),"")</f>
        <v/>
      </c>
      <c r="C68">
        <f ca="1">IF(A68&lt;1,LOOKUP(A68,Computations!$C$2:$C$100,Computations!$A$2:$A$100),n)</f>
        <v>2</v>
      </c>
      <c r="D68">
        <f t="shared" ca="1" si="29"/>
        <v>1.4999999999999999E-2</v>
      </c>
      <c r="E68">
        <f t="shared" ca="1" si="30"/>
        <v>0.03</v>
      </c>
      <c r="F68">
        <f t="shared" ca="1" si="31"/>
        <v>-1.6666666666666774E-3</v>
      </c>
      <c r="G68">
        <f t="shared" ca="1" si="32"/>
        <v>1.1666666666666679E-2</v>
      </c>
      <c r="H68">
        <f t="shared" ca="1" si="33"/>
        <v>0.04</v>
      </c>
      <c r="I68">
        <f t="shared" ca="1" si="34"/>
        <v>0</v>
      </c>
      <c r="J68">
        <f t="shared" ca="1" si="35"/>
        <v>0</v>
      </c>
      <c r="K68">
        <f t="shared" ca="1" si="36"/>
        <v>0</v>
      </c>
      <c r="L68">
        <f t="shared" ca="1" si="37"/>
        <v>0</v>
      </c>
      <c r="M68">
        <f t="shared" ca="1" si="38"/>
        <v>-40.333333333333002</v>
      </c>
      <c r="N68">
        <f t="shared" ca="1" si="39"/>
        <v>-81.407407407406353</v>
      </c>
      <c r="O68">
        <f t="shared" ca="1" si="40"/>
        <v>-773.3333333333162</v>
      </c>
      <c r="P68">
        <f t="shared" ca="1" si="41"/>
        <v>49.296296296295687</v>
      </c>
      <c r="Q68">
        <f t="shared" ca="1" si="42"/>
        <v>3.6666666666666514</v>
      </c>
      <c r="R68">
        <f t="shared" ca="1" si="43"/>
        <v>0.59936328097424707</v>
      </c>
      <c r="S68">
        <f t="shared" ca="1" si="44"/>
        <v>-3.6666666666666514</v>
      </c>
      <c r="T68">
        <f t="shared" ca="1" si="45"/>
        <v>0.98010872128129278</v>
      </c>
      <c r="U68">
        <f t="shared" ca="1" si="46"/>
        <v>0.34374508491765693</v>
      </c>
      <c r="V68">
        <f t="shared" ca="1" si="47"/>
        <v>2.333333333333321</v>
      </c>
      <c r="W68">
        <f t="shared" ca="1" si="48"/>
        <v>9.5207972893961053</v>
      </c>
      <c r="X68">
        <f t="shared" ca="1" si="49"/>
        <v>-2.5207972893961412</v>
      </c>
      <c r="Y68">
        <f t="shared" ca="1" si="50"/>
        <v>0</v>
      </c>
      <c r="Z68" t="e">
        <f t="shared" ca="1" si="51"/>
        <v>#NUM!</v>
      </c>
      <c r="AA68" t="e">
        <f t="shared" ca="1" si="52"/>
        <v>#NUM!</v>
      </c>
      <c r="AB68" t="e">
        <f t="shared" ca="1" si="53"/>
        <v>#NUM!</v>
      </c>
      <c r="AC68" t="e">
        <f t="shared" ca="1" si="54"/>
        <v>#NUM!</v>
      </c>
      <c r="AD68" t="e">
        <f t="shared" ca="1" si="55"/>
        <v>#NUM!</v>
      </c>
      <c r="AE68">
        <f t="shared" ca="1" si="56"/>
        <v>0</v>
      </c>
    </row>
    <row r="69" spans="1:31" x14ac:dyDescent="0.2">
      <c r="A69" s="6"/>
      <c r="B69" s="7" t="str">
        <f t="shared" si="57"/>
        <v/>
      </c>
      <c r="C69">
        <f ca="1">IF(A69&lt;1,LOOKUP(A69,Computations!$C$2:$C$100,Computations!$A$2:$A$100),n)</f>
        <v>2</v>
      </c>
      <c r="D69">
        <f t="shared" ca="1" si="29"/>
        <v>1.4999999999999999E-2</v>
      </c>
      <c r="E69">
        <f t="shared" ca="1" si="30"/>
        <v>0.03</v>
      </c>
      <c r="F69">
        <f t="shared" ca="1" si="31"/>
        <v>-1.6666666666666774E-3</v>
      </c>
      <c r="G69">
        <f t="shared" ca="1" si="32"/>
        <v>1.1666666666666679E-2</v>
      </c>
      <c r="H69">
        <f t="shared" ca="1" si="33"/>
        <v>0.04</v>
      </c>
      <c r="I69">
        <f t="shared" ca="1" si="34"/>
        <v>0</v>
      </c>
      <c r="J69">
        <f t="shared" ca="1" si="35"/>
        <v>0</v>
      </c>
      <c r="K69">
        <f t="shared" ca="1" si="36"/>
        <v>0</v>
      </c>
      <c r="L69">
        <f t="shared" ca="1" si="37"/>
        <v>0</v>
      </c>
      <c r="M69">
        <f t="shared" ca="1" si="38"/>
        <v>-40.333333333333002</v>
      </c>
      <c r="N69">
        <f t="shared" ca="1" si="39"/>
        <v>-81.407407407406353</v>
      </c>
      <c r="O69">
        <f t="shared" ca="1" si="40"/>
        <v>-773.3333333333162</v>
      </c>
      <c r="P69">
        <f t="shared" ca="1" si="41"/>
        <v>49.296296296295687</v>
      </c>
      <c r="Q69">
        <f t="shared" ca="1" si="42"/>
        <v>3.6666666666666514</v>
      </c>
      <c r="R69">
        <f t="shared" ca="1" si="43"/>
        <v>0.59936328097424707</v>
      </c>
      <c r="S69">
        <f t="shared" ca="1" si="44"/>
        <v>-3.6666666666666514</v>
      </c>
      <c r="T69">
        <f t="shared" ca="1" si="45"/>
        <v>0.98010872128129278</v>
      </c>
      <c r="U69">
        <f t="shared" ca="1" si="46"/>
        <v>0.34374508491765693</v>
      </c>
      <c r="V69">
        <f t="shared" ca="1" si="47"/>
        <v>2.333333333333321</v>
      </c>
      <c r="W69">
        <f t="shared" ca="1" si="48"/>
        <v>9.5207972893961053</v>
      </c>
      <c r="X69">
        <f t="shared" ca="1" si="49"/>
        <v>-2.5207972893961412</v>
      </c>
      <c r="Y69">
        <f t="shared" ca="1" si="50"/>
        <v>0</v>
      </c>
      <c r="Z69" t="e">
        <f t="shared" ca="1" si="51"/>
        <v>#NUM!</v>
      </c>
      <c r="AA69" t="e">
        <f t="shared" ca="1" si="52"/>
        <v>#NUM!</v>
      </c>
      <c r="AB69" t="e">
        <f t="shared" ca="1" si="53"/>
        <v>#NUM!</v>
      </c>
      <c r="AC69" t="e">
        <f t="shared" ca="1" si="54"/>
        <v>#NUM!</v>
      </c>
      <c r="AD69" t="e">
        <f t="shared" ca="1" si="55"/>
        <v>#NUM!</v>
      </c>
      <c r="AE69">
        <f t="shared" ca="1" si="56"/>
        <v>0</v>
      </c>
    </row>
    <row r="70" spans="1:31" x14ac:dyDescent="0.2">
      <c r="A70" s="6"/>
      <c r="B70" s="7" t="str">
        <f t="shared" si="57"/>
        <v/>
      </c>
      <c r="C70">
        <f ca="1">IF(A70&lt;1,LOOKUP(A70,Computations!$C$2:$C$100,Computations!$A$2:$A$100),n)</f>
        <v>2</v>
      </c>
      <c r="D70">
        <f t="shared" ca="1" si="29"/>
        <v>1.4999999999999999E-2</v>
      </c>
      <c r="E70">
        <f t="shared" ca="1" si="30"/>
        <v>0.03</v>
      </c>
      <c r="F70">
        <f t="shared" ca="1" si="31"/>
        <v>-1.6666666666666774E-3</v>
      </c>
      <c r="G70">
        <f t="shared" ca="1" si="32"/>
        <v>1.1666666666666679E-2</v>
      </c>
      <c r="H70">
        <f t="shared" ca="1" si="33"/>
        <v>0.04</v>
      </c>
      <c r="I70">
        <f t="shared" ca="1" si="34"/>
        <v>0</v>
      </c>
      <c r="J70">
        <f t="shared" ca="1" si="35"/>
        <v>0</v>
      </c>
      <c r="K70">
        <f t="shared" ca="1" si="36"/>
        <v>0</v>
      </c>
      <c r="L70">
        <f t="shared" ca="1" si="37"/>
        <v>0</v>
      </c>
      <c r="M70">
        <f t="shared" ca="1" si="38"/>
        <v>-40.333333333333002</v>
      </c>
      <c r="N70">
        <f t="shared" ca="1" si="39"/>
        <v>-81.407407407406353</v>
      </c>
      <c r="O70">
        <f t="shared" ca="1" si="40"/>
        <v>-773.3333333333162</v>
      </c>
      <c r="P70">
        <f t="shared" ca="1" si="41"/>
        <v>49.296296296295687</v>
      </c>
      <c r="Q70">
        <f t="shared" ca="1" si="42"/>
        <v>3.6666666666666514</v>
      </c>
      <c r="R70">
        <f t="shared" ca="1" si="43"/>
        <v>0.59936328097424707</v>
      </c>
      <c r="S70">
        <f t="shared" ca="1" si="44"/>
        <v>-3.6666666666666514</v>
      </c>
      <c r="T70">
        <f t="shared" ca="1" si="45"/>
        <v>0.98010872128129278</v>
      </c>
      <c r="U70">
        <f t="shared" ca="1" si="46"/>
        <v>0.34374508491765693</v>
      </c>
      <c r="V70">
        <f t="shared" ca="1" si="47"/>
        <v>2.333333333333321</v>
      </c>
      <c r="W70">
        <f t="shared" ca="1" si="48"/>
        <v>9.5207972893961053</v>
      </c>
      <c r="X70">
        <f t="shared" ca="1" si="49"/>
        <v>-2.5207972893961412</v>
      </c>
      <c r="Y70">
        <f t="shared" ca="1" si="50"/>
        <v>0</v>
      </c>
      <c r="Z70" t="e">
        <f t="shared" ca="1" si="51"/>
        <v>#NUM!</v>
      </c>
      <c r="AA70" t="e">
        <f t="shared" ca="1" si="52"/>
        <v>#NUM!</v>
      </c>
      <c r="AB70" t="e">
        <f t="shared" ca="1" si="53"/>
        <v>#NUM!</v>
      </c>
      <c r="AC70" t="e">
        <f t="shared" ca="1" si="54"/>
        <v>#NUM!</v>
      </c>
      <c r="AD70" t="e">
        <f t="shared" ca="1" si="55"/>
        <v>#NUM!</v>
      </c>
      <c r="AE70">
        <f t="shared" ca="1" si="56"/>
        <v>0</v>
      </c>
    </row>
    <row r="71" spans="1:31" x14ac:dyDescent="0.2">
      <c r="A71" s="6"/>
      <c r="B71" s="7" t="str">
        <f t="shared" si="57"/>
        <v/>
      </c>
      <c r="C71">
        <f ca="1">IF(A71&lt;1,LOOKUP(A71,Computations!$C$2:$C$100,Computations!$A$2:$A$100),n)</f>
        <v>2</v>
      </c>
      <c r="D71">
        <f t="shared" ca="1" si="29"/>
        <v>1.4999999999999999E-2</v>
      </c>
      <c r="E71">
        <f t="shared" ca="1" si="30"/>
        <v>0.03</v>
      </c>
      <c r="F71">
        <f t="shared" ca="1" si="31"/>
        <v>-1.6666666666666774E-3</v>
      </c>
      <c r="G71">
        <f t="shared" ca="1" si="32"/>
        <v>1.1666666666666679E-2</v>
      </c>
      <c r="H71">
        <f t="shared" ca="1" si="33"/>
        <v>0.04</v>
      </c>
      <c r="I71">
        <f t="shared" ca="1" si="34"/>
        <v>0</v>
      </c>
      <c r="J71">
        <f t="shared" ca="1" si="35"/>
        <v>0</v>
      </c>
      <c r="K71">
        <f t="shared" ca="1" si="36"/>
        <v>0</v>
      </c>
      <c r="L71">
        <f t="shared" ca="1" si="37"/>
        <v>0</v>
      </c>
      <c r="M71">
        <f t="shared" ca="1" si="38"/>
        <v>-40.333333333333002</v>
      </c>
      <c r="N71">
        <f t="shared" ca="1" si="39"/>
        <v>-81.407407407406353</v>
      </c>
      <c r="O71">
        <f t="shared" ca="1" si="40"/>
        <v>-773.3333333333162</v>
      </c>
      <c r="P71">
        <f t="shared" ca="1" si="41"/>
        <v>49.296296296295687</v>
      </c>
      <c r="Q71">
        <f t="shared" ca="1" si="42"/>
        <v>3.6666666666666514</v>
      </c>
      <c r="R71">
        <f t="shared" ca="1" si="43"/>
        <v>0.59936328097424707</v>
      </c>
      <c r="S71">
        <f t="shared" ca="1" si="44"/>
        <v>-3.6666666666666514</v>
      </c>
      <c r="T71">
        <f t="shared" ca="1" si="45"/>
        <v>0.98010872128129278</v>
      </c>
      <c r="U71">
        <f t="shared" ca="1" si="46"/>
        <v>0.34374508491765693</v>
      </c>
      <c r="V71">
        <f t="shared" ca="1" si="47"/>
        <v>2.333333333333321</v>
      </c>
      <c r="W71">
        <f t="shared" ca="1" si="48"/>
        <v>9.5207972893961053</v>
      </c>
      <c r="X71">
        <f t="shared" ca="1" si="49"/>
        <v>-2.5207972893961412</v>
      </c>
      <c r="Y71">
        <f t="shared" ca="1" si="50"/>
        <v>0</v>
      </c>
      <c r="Z71" t="e">
        <f t="shared" ca="1" si="51"/>
        <v>#NUM!</v>
      </c>
      <c r="AA71" t="e">
        <f t="shared" ca="1" si="52"/>
        <v>#NUM!</v>
      </c>
      <c r="AB71" t="e">
        <f t="shared" ca="1" si="53"/>
        <v>#NUM!</v>
      </c>
      <c r="AC71" t="e">
        <f t="shared" ca="1" si="54"/>
        <v>#NUM!</v>
      </c>
      <c r="AD71" t="e">
        <f t="shared" ca="1" si="55"/>
        <v>#NUM!</v>
      </c>
      <c r="AE71">
        <f t="shared" ca="1" si="56"/>
        <v>0</v>
      </c>
    </row>
    <row r="72" spans="1:31" x14ac:dyDescent="0.2">
      <c r="A72" s="6"/>
      <c r="B72" s="7" t="str">
        <f t="shared" si="57"/>
        <v/>
      </c>
      <c r="C72">
        <f ca="1">IF(A72&lt;1,LOOKUP(A72,Computations!$C$2:$C$100,Computations!$A$2:$A$100),n)</f>
        <v>2</v>
      </c>
      <c r="D72">
        <f t="shared" ca="1" si="29"/>
        <v>1.4999999999999999E-2</v>
      </c>
      <c r="E72">
        <f t="shared" ca="1" si="30"/>
        <v>0.03</v>
      </c>
      <c r="F72">
        <f t="shared" ca="1" si="31"/>
        <v>-1.6666666666666774E-3</v>
      </c>
      <c r="G72">
        <f t="shared" ca="1" si="32"/>
        <v>1.1666666666666679E-2</v>
      </c>
      <c r="H72">
        <f t="shared" ca="1" si="33"/>
        <v>0.04</v>
      </c>
      <c r="I72">
        <f t="shared" ca="1" si="34"/>
        <v>0</v>
      </c>
      <c r="J72">
        <f t="shared" ca="1" si="35"/>
        <v>0</v>
      </c>
      <c r="K72">
        <f t="shared" ca="1" si="36"/>
        <v>0</v>
      </c>
      <c r="L72">
        <f t="shared" ca="1" si="37"/>
        <v>0</v>
      </c>
      <c r="M72">
        <f t="shared" ca="1" si="38"/>
        <v>-40.333333333333002</v>
      </c>
      <c r="N72">
        <f t="shared" ca="1" si="39"/>
        <v>-81.407407407406353</v>
      </c>
      <c r="O72">
        <f t="shared" ca="1" si="40"/>
        <v>-773.3333333333162</v>
      </c>
      <c r="P72">
        <f t="shared" ca="1" si="41"/>
        <v>49.296296296295687</v>
      </c>
      <c r="Q72">
        <f t="shared" ca="1" si="42"/>
        <v>3.6666666666666514</v>
      </c>
      <c r="R72">
        <f t="shared" ca="1" si="43"/>
        <v>0.59936328097424707</v>
      </c>
      <c r="S72">
        <f t="shared" ca="1" si="44"/>
        <v>-3.6666666666666514</v>
      </c>
      <c r="T72">
        <f t="shared" ca="1" si="45"/>
        <v>0.98010872128129278</v>
      </c>
      <c r="U72">
        <f t="shared" ca="1" si="46"/>
        <v>0.34374508491765693</v>
      </c>
      <c r="V72">
        <f t="shared" ca="1" si="47"/>
        <v>2.333333333333321</v>
      </c>
      <c r="W72">
        <f t="shared" ca="1" si="48"/>
        <v>9.5207972893961053</v>
      </c>
      <c r="X72">
        <f t="shared" ca="1" si="49"/>
        <v>-2.5207972893961412</v>
      </c>
      <c r="Y72">
        <f t="shared" ca="1" si="50"/>
        <v>0</v>
      </c>
      <c r="Z72" t="e">
        <f t="shared" ca="1" si="51"/>
        <v>#NUM!</v>
      </c>
      <c r="AA72" t="e">
        <f t="shared" ca="1" si="52"/>
        <v>#NUM!</v>
      </c>
      <c r="AB72" t="e">
        <f t="shared" ca="1" si="53"/>
        <v>#NUM!</v>
      </c>
      <c r="AC72" t="e">
        <f t="shared" ca="1" si="54"/>
        <v>#NUM!</v>
      </c>
      <c r="AD72" t="e">
        <f t="shared" ca="1" si="55"/>
        <v>#NUM!</v>
      </c>
      <c r="AE72">
        <f t="shared" ca="1" si="56"/>
        <v>0</v>
      </c>
    </row>
    <row r="73" spans="1:31" x14ac:dyDescent="0.2">
      <c r="A73" s="6"/>
      <c r="B73" s="7" t="str">
        <f t="shared" si="57"/>
        <v/>
      </c>
      <c r="C73">
        <f ca="1">IF(A73&lt;1,LOOKUP(A73,Computations!$C$2:$C$100,Computations!$A$2:$A$100),n)</f>
        <v>2</v>
      </c>
      <c r="D73">
        <f t="shared" ca="1" si="29"/>
        <v>1.4999999999999999E-2</v>
      </c>
      <c r="E73">
        <f t="shared" ca="1" si="30"/>
        <v>0.03</v>
      </c>
      <c r="F73">
        <f t="shared" ca="1" si="31"/>
        <v>-1.6666666666666774E-3</v>
      </c>
      <c r="G73">
        <f t="shared" ca="1" si="32"/>
        <v>1.1666666666666679E-2</v>
      </c>
      <c r="H73">
        <f t="shared" ca="1" si="33"/>
        <v>0.04</v>
      </c>
      <c r="I73">
        <f t="shared" ca="1" si="34"/>
        <v>0</v>
      </c>
      <c r="J73">
        <f t="shared" ca="1" si="35"/>
        <v>0</v>
      </c>
      <c r="K73">
        <f t="shared" ca="1" si="36"/>
        <v>0</v>
      </c>
      <c r="L73">
        <f t="shared" ca="1" si="37"/>
        <v>0</v>
      </c>
      <c r="M73">
        <f t="shared" ca="1" si="38"/>
        <v>-40.333333333333002</v>
      </c>
      <c r="N73">
        <f t="shared" ca="1" si="39"/>
        <v>-81.407407407406353</v>
      </c>
      <c r="O73">
        <f t="shared" ca="1" si="40"/>
        <v>-773.3333333333162</v>
      </c>
      <c r="P73">
        <f t="shared" ca="1" si="41"/>
        <v>49.296296296295687</v>
      </c>
      <c r="Q73">
        <f t="shared" ca="1" si="42"/>
        <v>3.6666666666666514</v>
      </c>
      <c r="R73">
        <f t="shared" ca="1" si="43"/>
        <v>0.59936328097424707</v>
      </c>
      <c r="S73">
        <f t="shared" ca="1" si="44"/>
        <v>-3.6666666666666514</v>
      </c>
      <c r="T73">
        <f t="shared" ca="1" si="45"/>
        <v>0.98010872128129278</v>
      </c>
      <c r="U73">
        <f t="shared" ca="1" si="46"/>
        <v>0.34374508491765693</v>
      </c>
      <c r="V73">
        <f t="shared" ca="1" si="47"/>
        <v>2.333333333333321</v>
      </c>
      <c r="W73">
        <f t="shared" ca="1" si="48"/>
        <v>9.5207972893961053</v>
      </c>
      <c r="X73">
        <f t="shared" ca="1" si="49"/>
        <v>-2.5207972893961412</v>
      </c>
      <c r="Y73">
        <f t="shared" ca="1" si="50"/>
        <v>0</v>
      </c>
      <c r="Z73" t="e">
        <f t="shared" ca="1" si="51"/>
        <v>#NUM!</v>
      </c>
      <c r="AA73" t="e">
        <f t="shared" ca="1" si="52"/>
        <v>#NUM!</v>
      </c>
      <c r="AB73" t="e">
        <f t="shared" ca="1" si="53"/>
        <v>#NUM!</v>
      </c>
      <c r="AC73" t="e">
        <f t="shared" ca="1" si="54"/>
        <v>#NUM!</v>
      </c>
      <c r="AD73" t="e">
        <f t="shared" ca="1" si="55"/>
        <v>#NUM!</v>
      </c>
      <c r="AE73">
        <f t="shared" ca="1" si="56"/>
        <v>0</v>
      </c>
    </row>
    <row r="74" spans="1:31" x14ac:dyDescent="0.2">
      <c r="A74" s="6"/>
      <c r="B74" s="7" t="str">
        <f t="shared" si="57"/>
        <v/>
      </c>
      <c r="C74">
        <f ca="1">IF(A74&lt;1,LOOKUP(A74,Computations!$C$2:$C$100,Computations!$A$2:$A$100),n)</f>
        <v>2</v>
      </c>
      <c r="D74">
        <f t="shared" ca="1" si="29"/>
        <v>1.4999999999999999E-2</v>
      </c>
      <c r="E74">
        <f t="shared" ca="1" si="30"/>
        <v>0.03</v>
      </c>
      <c r="F74">
        <f t="shared" ca="1" si="31"/>
        <v>-1.6666666666666774E-3</v>
      </c>
      <c r="G74">
        <f t="shared" ca="1" si="32"/>
        <v>1.1666666666666679E-2</v>
      </c>
      <c r="H74">
        <f t="shared" ca="1" si="33"/>
        <v>0.04</v>
      </c>
      <c r="I74">
        <f t="shared" ca="1" si="34"/>
        <v>0</v>
      </c>
      <c r="J74">
        <f t="shared" ca="1" si="35"/>
        <v>0</v>
      </c>
      <c r="K74">
        <f t="shared" ca="1" si="36"/>
        <v>0</v>
      </c>
      <c r="L74">
        <f t="shared" ca="1" si="37"/>
        <v>0</v>
      </c>
      <c r="M74">
        <f t="shared" ca="1" si="38"/>
        <v>-40.333333333333002</v>
      </c>
      <c r="N74">
        <f t="shared" ca="1" si="39"/>
        <v>-81.407407407406353</v>
      </c>
      <c r="O74">
        <f t="shared" ca="1" si="40"/>
        <v>-773.3333333333162</v>
      </c>
      <c r="P74">
        <f t="shared" ca="1" si="41"/>
        <v>49.296296296295687</v>
      </c>
      <c r="Q74">
        <f t="shared" ca="1" si="42"/>
        <v>3.6666666666666514</v>
      </c>
      <c r="R74">
        <f t="shared" ca="1" si="43"/>
        <v>0.59936328097424707</v>
      </c>
      <c r="S74">
        <f t="shared" ca="1" si="44"/>
        <v>-3.6666666666666514</v>
      </c>
      <c r="T74">
        <f t="shared" ca="1" si="45"/>
        <v>0.98010872128129278</v>
      </c>
      <c r="U74">
        <f t="shared" ca="1" si="46"/>
        <v>0.34374508491765693</v>
      </c>
      <c r="V74">
        <f t="shared" ca="1" si="47"/>
        <v>2.333333333333321</v>
      </c>
      <c r="W74">
        <f t="shared" ca="1" si="48"/>
        <v>9.5207972893961053</v>
      </c>
      <c r="X74">
        <f t="shared" ca="1" si="49"/>
        <v>-2.5207972893961412</v>
      </c>
      <c r="Y74">
        <f t="shared" ca="1" si="50"/>
        <v>0</v>
      </c>
      <c r="Z74" t="e">
        <f t="shared" ca="1" si="51"/>
        <v>#NUM!</v>
      </c>
      <c r="AA74" t="e">
        <f t="shared" ca="1" si="52"/>
        <v>#NUM!</v>
      </c>
      <c r="AB74" t="e">
        <f t="shared" ca="1" si="53"/>
        <v>#NUM!</v>
      </c>
      <c r="AC74" t="e">
        <f t="shared" ca="1" si="54"/>
        <v>#NUM!</v>
      </c>
      <c r="AD74" t="e">
        <f t="shared" ca="1" si="55"/>
        <v>#NUM!</v>
      </c>
      <c r="AE74">
        <f t="shared" ca="1" si="56"/>
        <v>0</v>
      </c>
    </row>
    <row r="75" spans="1:31" x14ac:dyDescent="0.2">
      <c r="A75" s="6"/>
      <c r="B75" s="7" t="str">
        <f t="shared" si="57"/>
        <v/>
      </c>
      <c r="C75">
        <f ca="1">IF(A75&lt;1,LOOKUP(A75,Computations!$C$2:$C$100,Computations!$A$2:$A$100),n)</f>
        <v>2</v>
      </c>
      <c r="D75">
        <f t="shared" ca="1" si="29"/>
        <v>1.4999999999999999E-2</v>
      </c>
      <c r="E75">
        <f t="shared" ca="1" si="30"/>
        <v>0.03</v>
      </c>
      <c r="F75">
        <f t="shared" ca="1" si="31"/>
        <v>-1.6666666666666774E-3</v>
      </c>
      <c r="G75">
        <f t="shared" ca="1" si="32"/>
        <v>1.1666666666666679E-2</v>
      </c>
      <c r="H75">
        <f t="shared" ca="1" si="33"/>
        <v>0.04</v>
      </c>
      <c r="I75">
        <f t="shared" ca="1" si="34"/>
        <v>0</v>
      </c>
      <c r="J75">
        <f t="shared" ca="1" si="35"/>
        <v>0</v>
      </c>
      <c r="K75">
        <f t="shared" ca="1" si="36"/>
        <v>0</v>
      </c>
      <c r="L75">
        <f t="shared" ca="1" si="37"/>
        <v>0</v>
      </c>
      <c r="M75">
        <f t="shared" ca="1" si="38"/>
        <v>-40.333333333333002</v>
      </c>
      <c r="N75">
        <f t="shared" ca="1" si="39"/>
        <v>-81.407407407406353</v>
      </c>
      <c r="O75">
        <f t="shared" ca="1" si="40"/>
        <v>-773.3333333333162</v>
      </c>
      <c r="P75">
        <f t="shared" ca="1" si="41"/>
        <v>49.296296296295687</v>
      </c>
      <c r="Q75">
        <f t="shared" ca="1" si="42"/>
        <v>3.6666666666666514</v>
      </c>
      <c r="R75">
        <f t="shared" ca="1" si="43"/>
        <v>0.59936328097424707</v>
      </c>
      <c r="S75">
        <f t="shared" ca="1" si="44"/>
        <v>-3.6666666666666514</v>
      </c>
      <c r="T75">
        <f t="shared" ca="1" si="45"/>
        <v>0.98010872128129278</v>
      </c>
      <c r="U75">
        <f t="shared" ca="1" si="46"/>
        <v>0.34374508491765693</v>
      </c>
      <c r="V75">
        <f t="shared" ca="1" si="47"/>
        <v>2.333333333333321</v>
      </c>
      <c r="W75">
        <f t="shared" ca="1" si="48"/>
        <v>9.5207972893961053</v>
      </c>
      <c r="X75">
        <f t="shared" ca="1" si="49"/>
        <v>-2.5207972893961412</v>
      </c>
      <c r="Y75">
        <f t="shared" ca="1" si="50"/>
        <v>0</v>
      </c>
      <c r="Z75" t="e">
        <f t="shared" ca="1" si="51"/>
        <v>#NUM!</v>
      </c>
      <c r="AA75" t="e">
        <f t="shared" ca="1" si="52"/>
        <v>#NUM!</v>
      </c>
      <c r="AB75" t="e">
        <f t="shared" ca="1" si="53"/>
        <v>#NUM!</v>
      </c>
      <c r="AC75" t="e">
        <f t="shared" ca="1" si="54"/>
        <v>#NUM!</v>
      </c>
      <c r="AD75" t="e">
        <f t="shared" ca="1" si="55"/>
        <v>#NUM!</v>
      </c>
      <c r="AE75">
        <f t="shared" ca="1" si="56"/>
        <v>0</v>
      </c>
    </row>
    <row r="76" spans="1:31" x14ac:dyDescent="0.2">
      <c r="A76" s="6"/>
      <c r="B76" s="7" t="str">
        <f t="shared" si="57"/>
        <v/>
      </c>
      <c r="C76">
        <f ca="1">IF(A76&lt;1,LOOKUP(A76,Computations!$C$2:$C$100,Computations!$A$2:$A$100),n)</f>
        <v>2</v>
      </c>
      <c r="D76">
        <f t="shared" ca="1" si="29"/>
        <v>1.4999999999999999E-2</v>
      </c>
      <c r="E76">
        <f t="shared" ca="1" si="30"/>
        <v>0.03</v>
      </c>
      <c r="F76">
        <f t="shared" ca="1" si="31"/>
        <v>-1.6666666666666774E-3</v>
      </c>
      <c r="G76">
        <f t="shared" ca="1" si="32"/>
        <v>1.1666666666666679E-2</v>
      </c>
      <c r="H76">
        <f t="shared" ca="1" si="33"/>
        <v>0.04</v>
      </c>
      <c r="I76">
        <f t="shared" ca="1" si="34"/>
        <v>0</v>
      </c>
      <c r="J76">
        <f t="shared" ca="1" si="35"/>
        <v>0</v>
      </c>
      <c r="K76">
        <f t="shared" ca="1" si="36"/>
        <v>0</v>
      </c>
      <c r="L76">
        <f t="shared" ca="1" si="37"/>
        <v>0</v>
      </c>
      <c r="M76">
        <f t="shared" ca="1" si="38"/>
        <v>-40.333333333333002</v>
      </c>
      <c r="N76">
        <f t="shared" ca="1" si="39"/>
        <v>-81.407407407406353</v>
      </c>
      <c r="O76">
        <f t="shared" ca="1" si="40"/>
        <v>-773.3333333333162</v>
      </c>
      <c r="P76">
        <f t="shared" ca="1" si="41"/>
        <v>49.296296296295687</v>
      </c>
      <c r="Q76">
        <f t="shared" ca="1" si="42"/>
        <v>3.6666666666666514</v>
      </c>
      <c r="R76">
        <f t="shared" ca="1" si="43"/>
        <v>0.59936328097424707</v>
      </c>
      <c r="S76">
        <f t="shared" ca="1" si="44"/>
        <v>-3.6666666666666514</v>
      </c>
      <c r="T76">
        <f t="shared" ca="1" si="45"/>
        <v>0.98010872128129278</v>
      </c>
      <c r="U76">
        <f t="shared" ca="1" si="46"/>
        <v>0.34374508491765693</v>
      </c>
      <c r="V76">
        <f t="shared" ca="1" si="47"/>
        <v>2.333333333333321</v>
      </c>
      <c r="W76">
        <f t="shared" ca="1" si="48"/>
        <v>9.5207972893961053</v>
      </c>
      <c r="X76">
        <f t="shared" ca="1" si="49"/>
        <v>-2.5207972893961412</v>
      </c>
      <c r="Y76">
        <f t="shared" ca="1" si="50"/>
        <v>0</v>
      </c>
      <c r="Z76" t="e">
        <f t="shared" ca="1" si="51"/>
        <v>#NUM!</v>
      </c>
      <c r="AA76" t="e">
        <f t="shared" ca="1" si="52"/>
        <v>#NUM!</v>
      </c>
      <c r="AB76" t="e">
        <f t="shared" ca="1" si="53"/>
        <v>#NUM!</v>
      </c>
      <c r="AC76" t="e">
        <f t="shared" ca="1" si="54"/>
        <v>#NUM!</v>
      </c>
      <c r="AD76" t="e">
        <f t="shared" ca="1" si="55"/>
        <v>#NUM!</v>
      </c>
      <c r="AE76">
        <f t="shared" ca="1" si="56"/>
        <v>0</v>
      </c>
    </row>
    <row r="77" spans="1:31" x14ac:dyDescent="0.2">
      <c r="A77" s="6"/>
      <c r="B77" s="7" t="str">
        <f t="shared" si="57"/>
        <v/>
      </c>
      <c r="C77">
        <f ca="1">IF(A77&lt;1,LOOKUP(A77,Computations!$C$2:$C$100,Computations!$A$2:$A$100),n)</f>
        <v>2</v>
      </c>
      <c r="D77">
        <f t="shared" ca="1" si="29"/>
        <v>1.4999999999999999E-2</v>
      </c>
      <c r="E77">
        <f t="shared" ca="1" si="30"/>
        <v>0.03</v>
      </c>
      <c r="F77">
        <f t="shared" ca="1" si="31"/>
        <v>-1.6666666666666774E-3</v>
      </c>
      <c r="G77">
        <f t="shared" ca="1" si="32"/>
        <v>1.1666666666666679E-2</v>
      </c>
      <c r="H77">
        <f t="shared" ca="1" si="33"/>
        <v>0.04</v>
      </c>
      <c r="I77">
        <f t="shared" ca="1" si="34"/>
        <v>0</v>
      </c>
      <c r="J77">
        <f t="shared" ca="1" si="35"/>
        <v>0</v>
      </c>
      <c r="K77">
        <f t="shared" ca="1" si="36"/>
        <v>0</v>
      </c>
      <c r="L77">
        <f t="shared" ca="1" si="37"/>
        <v>0</v>
      </c>
      <c r="M77">
        <f t="shared" ca="1" si="38"/>
        <v>-40.333333333333002</v>
      </c>
      <c r="N77">
        <f t="shared" ca="1" si="39"/>
        <v>-81.407407407406353</v>
      </c>
      <c r="O77">
        <f t="shared" ca="1" si="40"/>
        <v>-773.3333333333162</v>
      </c>
      <c r="P77">
        <f t="shared" ca="1" si="41"/>
        <v>49.296296296295687</v>
      </c>
      <c r="Q77">
        <f t="shared" ca="1" si="42"/>
        <v>3.6666666666666514</v>
      </c>
      <c r="R77">
        <f t="shared" ca="1" si="43"/>
        <v>0.59936328097424707</v>
      </c>
      <c r="S77">
        <f t="shared" ca="1" si="44"/>
        <v>-3.6666666666666514</v>
      </c>
      <c r="T77">
        <f t="shared" ca="1" si="45"/>
        <v>0.98010872128129278</v>
      </c>
      <c r="U77">
        <f t="shared" ca="1" si="46"/>
        <v>0.34374508491765693</v>
      </c>
      <c r="V77">
        <f t="shared" ca="1" si="47"/>
        <v>2.333333333333321</v>
      </c>
      <c r="W77">
        <f t="shared" ca="1" si="48"/>
        <v>9.5207972893961053</v>
      </c>
      <c r="X77">
        <f t="shared" ca="1" si="49"/>
        <v>-2.5207972893961412</v>
      </c>
      <c r="Y77">
        <f t="shared" ca="1" si="50"/>
        <v>0</v>
      </c>
      <c r="Z77" t="e">
        <f t="shared" ca="1" si="51"/>
        <v>#NUM!</v>
      </c>
      <c r="AA77" t="e">
        <f t="shared" ca="1" si="52"/>
        <v>#NUM!</v>
      </c>
      <c r="AB77" t="e">
        <f t="shared" ca="1" si="53"/>
        <v>#NUM!</v>
      </c>
      <c r="AC77" t="e">
        <f t="shared" ca="1" si="54"/>
        <v>#NUM!</v>
      </c>
      <c r="AD77" t="e">
        <f t="shared" ca="1" si="55"/>
        <v>#NUM!</v>
      </c>
      <c r="AE77">
        <f t="shared" ca="1" si="56"/>
        <v>0</v>
      </c>
    </row>
    <row r="78" spans="1:31" x14ac:dyDescent="0.2">
      <c r="A78" s="6"/>
      <c r="B78" s="7" t="str">
        <f t="shared" si="57"/>
        <v/>
      </c>
      <c r="C78">
        <f ca="1">IF(A78&lt;1,LOOKUP(A78,Computations!$C$2:$C$100,Computations!$A$2:$A$100),n)</f>
        <v>2</v>
      </c>
      <c r="D78">
        <f t="shared" ca="1" si="29"/>
        <v>1.4999999999999999E-2</v>
      </c>
      <c r="E78">
        <f t="shared" ca="1" si="30"/>
        <v>0.03</v>
      </c>
      <c r="F78">
        <f t="shared" ca="1" si="31"/>
        <v>-1.6666666666666774E-3</v>
      </c>
      <c r="G78">
        <f t="shared" ca="1" si="32"/>
        <v>1.1666666666666679E-2</v>
      </c>
      <c r="H78">
        <f t="shared" ca="1" si="33"/>
        <v>0.04</v>
      </c>
      <c r="I78">
        <f t="shared" ca="1" si="34"/>
        <v>0</v>
      </c>
      <c r="J78">
        <f t="shared" ca="1" si="35"/>
        <v>0</v>
      </c>
      <c r="K78">
        <f t="shared" ca="1" si="36"/>
        <v>0</v>
      </c>
      <c r="L78">
        <f t="shared" ca="1" si="37"/>
        <v>0</v>
      </c>
      <c r="M78">
        <f t="shared" ca="1" si="38"/>
        <v>-40.333333333333002</v>
      </c>
      <c r="N78">
        <f t="shared" ca="1" si="39"/>
        <v>-81.407407407406353</v>
      </c>
      <c r="O78">
        <f t="shared" ca="1" si="40"/>
        <v>-773.3333333333162</v>
      </c>
      <c r="P78">
        <f t="shared" ca="1" si="41"/>
        <v>49.296296296295687</v>
      </c>
      <c r="Q78">
        <f t="shared" ca="1" si="42"/>
        <v>3.6666666666666514</v>
      </c>
      <c r="R78">
        <f t="shared" ca="1" si="43"/>
        <v>0.59936328097424707</v>
      </c>
      <c r="S78">
        <f t="shared" ca="1" si="44"/>
        <v>-3.6666666666666514</v>
      </c>
      <c r="T78">
        <f t="shared" ca="1" si="45"/>
        <v>0.98010872128129278</v>
      </c>
      <c r="U78">
        <f t="shared" ca="1" si="46"/>
        <v>0.34374508491765693</v>
      </c>
      <c r="V78">
        <f t="shared" ca="1" si="47"/>
        <v>2.333333333333321</v>
      </c>
      <c r="W78">
        <f t="shared" ca="1" si="48"/>
        <v>9.5207972893961053</v>
      </c>
      <c r="X78">
        <f t="shared" ca="1" si="49"/>
        <v>-2.5207972893961412</v>
      </c>
      <c r="Y78">
        <f t="shared" ca="1" si="50"/>
        <v>0</v>
      </c>
      <c r="Z78" t="e">
        <f t="shared" ca="1" si="51"/>
        <v>#NUM!</v>
      </c>
      <c r="AA78" t="e">
        <f t="shared" ca="1" si="52"/>
        <v>#NUM!</v>
      </c>
      <c r="AB78" t="e">
        <f t="shared" ca="1" si="53"/>
        <v>#NUM!</v>
      </c>
      <c r="AC78" t="e">
        <f t="shared" ca="1" si="54"/>
        <v>#NUM!</v>
      </c>
      <c r="AD78" t="e">
        <f t="shared" ca="1" si="55"/>
        <v>#NUM!</v>
      </c>
      <c r="AE78">
        <f t="shared" ca="1" si="56"/>
        <v>0</v>
      </c>
    </row>
    <row r="79" spans="1:31" x14ac:dyDescent="0.2">
      <c r="A79" s="6"/>
      <c r="B79" s="7" t="str">
        <f t="shared" si="57"/>
        <v/>
      </c>
      <c r="C79">
        <f ca="1">IF(A79&lt;1,LOOKUP(A79,Computations!$C$2:$C$100,Computations!$A$2:$A$100),n)</f>
        <v>2</v>
      </c>
      <c r="D79">
        <f t="shared" ca="1" si="29"/>
        <v>1.4999999999999999E-2</v>
      </c>
      <c r="E79">
        <f t="shared" ca="1" si="30"/>
        <v>0.03</v>
      </c>
      <c r="F79">
        <f t="shared" ca="1" si="31"/>
        <v>-1.6666666666666774E-3</v>
      </c>
      <c r="G79">
        <f t="shared" ca="1" si="32"/>
        <v>1.1666666666666679E-2</v>
      </c>
      <c r="H79">
        <f t="shared" ca="1" si="33"/>
        <v>0.04</v>
      </c>
      <c r="I79">
        <f t="shared" ca="1" si="34"/>
        <v>0</v>
      </c>
      <c r="J79">
        <f t="shared" ca="1" si="35"/>
        <v>0</v>
      </c>
      <c r="K79">
        <f t="shared" ca="1" si="36"/>
        <v>0</v>
      </c>
      <c r="L79">
        <f t="shared" ca="1" si="37"/>
        <v>0</v>
      </c>
      <c r="M79">
        <f t="shared" ca="1" si="38"/>
        <v>-40.333333333333002</v>
      </c>
      <c r="N79">
        <f t="shared" ca="1" si="39"/>
        <v>-81.407407407406353</v>
      </c>
      <c r="O79">
        <f t="shared" ca="1" si="40"/>
        <v>-773.3333333333162</v>
      </c>
      <c r="P79">
        <f t="shared" ca="1" si="41"/>
        <v>49.296296296295687</v>
      </c>
      <c r="Q79">
        <f t="shared" ca="1" si="42"/>
        <v>3.6666666666666514</v>
      </c>
      <c r="R79">
        <f t="shared" ca="1" si="43"/>
        <v>0.59936328097424707</v>
      </c>
      <c r="S79">
        <f t="shared" ca="1" si="44"/>
        <v>-3.6666666666666514</v>
      </c>
      <c r="T79">
        <f t="shared" ca="1" si="45"/>
        <v>0.98010872128129278</v>
      </c>
      <c r="U79">
        <f t="shared" ca="1" si="46"/>
        <v>0.34374508491765693</v>
      </c>
      <c r="V79">
        <f t="shared" ca="1" si="47"/>
        <v>2.333333333333321</v>
      </c>
      <c r="W79">
        <f t="shared" ca="1" si="48"/>
        <v>9.5207972893961053</v>
      </c>
      <c r="X79">
        <f t="shared" ca="1" si="49"/>
        <v>-2.5207972893961412</v>
      </c>
      <c r="Y79">
        <f t="shared" ca="1" si="50"/>
        <v>0</v>
      </c>
      <c r="Z79" t="e">
        <f t="shared" ca="1" si="51"/>
        <v>#NUM!</v>
      </c>
      <c r="AA79" t="e">
        <f t="shared" ca="1" si="52"/>
        <v>#NUM!</v>
      </c>
      <c r="AB79" t="e">
        <f t="shared" ca="1" si="53"/>
        <v>#NUM!</v>
      </c>
      <c r="AC79" t="e">
        <f t="shared" ca="1" si="54"/>
        <v>#NUM!</v>
      </c>
      <c r="AD79" t="e">
        <f t="shared" ca="1" si="55"/>
        <v>#NUM!</v>
      </c>
      <c r="AE79">
        <f t="shared" ca="1" si="56"/>
        <v>0</v>
      </c>
    </row>
    <row r="80" spans="1:31" x14ac:dyDescent="0.2">
      <c r="A80" s="6"/>
      <c r="B80" s="7" t="str">
        <f t="shared" si="57"/>
        <v/>
      </c>
      <c r="C80">
        <f ca="1">IF(A80&lt;1,LOOKUP(A80,Computations!$C$2:$C$100,Computations!$A$2:$A$100),n)</f>
        <v>2</v>
      </c>
      <c r="D80">
        <f t="shared" ca="1" si="29"/>
        <v>1.4999999999999999E-2</v>
      </c>
      <c r="E80">
        <f t="shared" ca="1" si="30"/>
        <v>0.03</v>
      </c>
      <c r="F80">
        <f t="shared" ca="1" si="31"/>
        <v>-1.6666666666666774E-3</v>
      </c>
      <c r="G80">
        <f t="shared" ca="1" si="32"/>
        <v>1.1666666666666679E-2</v>
      </c>
      <c r="H80">
        <f t="shared" ca="1" si="33"/>
        <v>0.04</v>
      </c>
      <c r="I80">
        <f t="shared" ca="1" si="34"/>
        <v>0</v>
      </c>
      <c r="J80">
        <f t="shared" ca="1" si="35"/>
        <v>0</v>
      </c>
      <c r="K80">
        <f t="shared" ca="1" si="36"/>
        <v>0</v>
      </c>
      <c r="L80">
        <f t="shared" ca="1" si="37"/>
        <v>0</v>
      </c>
      <c r="M80">
        <f t="shared" ca="1" si="38"/>
        <v>-40.333333333333002</v>
      </c>
      <c r="N80">
        <f t="shared" ca="1" si="39"/>
        <v>-81.407407407406353</v>
      </c>
      <c r="O80">
        <f t="shared" ca="1" si="40"/>
        <v>-773.3333333333162</v>
      </c>
      <c r="P80">
        <f t="shared" ca="1" si="41"/>
        <v>49.296296296295687</v>
      </c>
      <c r="Q80">
        <f t="shared" ca="1" si="42"/>
        <v>3.6666666666666514</v>
      </c>
      <c r="R80">
        <f t="shared" ca="1" si="43"/>
        <v>0.59936328097424707</v>
      </c>
      <c r="S80">
        <f t="shared" ca="1" si="44"/>
        <v>-3.6666666666666514</v>
      </c>
      <c r="T80">
        <f t="shared" ca="1" si="45"/>
        <v>0.98010872128129278</v>
      </c>
      <c r="U80">
        <f t="shared" ca="1" si="46"/>
        <v>0.34374508491765693</v>
      </c>
      <c r="V80">
        <f t="shared" ca="1" si="47"/>
        <v>2.333333333333321</v>
      </c>
      <c r="W80">
        <f t="shared" ca="1" si="48"/>
        <v>9.5207972893961053</v>
      </c>
      <c r="X80">
        <f t="shared" ca="1" si="49"/>
        <v>-2.5207972893961412</v>
      </c>
      <c r="Y80">
        <f t="shared" ca="1" si="50"/>
        <v>0</v>
      </c>
      <c r="Z80" t="e">
        <f t="shared" ca="1" si="51"/>
        <v>#NUM!</v>
      </c>
      <c r="AA80" t="e">
        <f t="shared" ca="1" si="52"/>
        <v>#NUM!</v>
      </c>
      <c r="AB80" t="e">
        <f t="shared" ca="1" si="53"/>
        <v>#NUM!</v>
      </c>
      <c r="AC80" t="e">
        <f t="shared" ca="1" si="54"/>
        <v>#NUM!</v>
      </c>
      <c r="AD80" t="e">
        <f t="shared" ca="1" si="55"/>
        <v>#NUM!</v>
      </c>
      <c r="AE80">
        <f t="shared" ca="1" si="56"/>
        <v>0</v>
      </c>
    </row>
    <row r="81" spans="1:31" x14ac:dyDescent="0.2">
      <c r="A81" s="6"/>
      <c r="B81" s="7" t="str">
        <f t="shared" si="57"/>
        <v/>
      </c>
      <c r="C81">
        <f ca="1">IF(A81&lt;1,LOOKUP(A81,Computations!$C$2:$C$100,Computations!$A$2:$A$100),n)</f>
        <v>2</v>
      </c>
      <c r="D81">
        <f t="shared" ca="1" si="29"/>
        <v>1.4999999999999999E-2</v>
      </c>
      <c r="E81">
        <f t="shared" ca="1" si="30"/>
        <v>0.03</v>
      </c>
      <c r="F81">
        <f t="shared" ca="1" si="31"/>
        <v>-1.6666666666666774E-3</v>
      </c>
      <c r="G81">
        <f t="shared" ca="1" si="32"/>
        <v>1.1666666666666679E-2</v>
      </c>
      <c r="H81">
        <f t="shared" ca="1" si="33"/>
        <v>0.04</v>
      </c>
      <c r="I81">
        <f t="shared" ca="1" si="34"/>
        <v>0</v>
      </c>
      <c r="J81">
        <f t="shared" ca="1" si="35"/>
        <v>0</v>
      </c>
      <c r="K81">
        <f t="shared" ca="1" si="36"/>
        <v>0</v>
      </c>
      <c r="L81">
        <f t="shared" ca="1" si="37"/>
        <v>0</v>
      </c>
      <c r="M81">
        <f t="shared" ca="1" si="38"/>
        <v>-40.333333333333002</v>
      </c>
      <c r="N81">
        <f t="shared" ca="1" si="39"/>
        <v>-81.407407407406353</v>
      </c>
      <c r="O81">
        <f t="shared" ca="1" si="40"/>
        <v>-773.3333333333162</v>
      </c>
      <c r="P81">
        <f t="shared" ca="1" si="41"/>
        <v>49.296296296295687</v>
      </c>
      <c r="Q81">
        <f t="shared" ca="1" si="42"/>
        <v>3.6666666666666514</v>
      </c>
      <c r="R81">
        <f t="shared" ca="1" si="43"/>
        <v>0.59936328097424707</v>
      </c>
      <c r="S81">
        <f t="shared" ca="1" si="44"/>
        <v>-3.6666666666666514</v>
      </c>
      <c r="T81">
        <f t="shared" ca="1" si="45"/>
        <v>0.98010872128129278</v>
      </c>
      <c r="U81">
        <f t="shared" ca="1" si="46"/>
        <v>0.34374508491765693</v>
      </c>
      <c r="V81">
        <f t="shared" ca="1" si="47"/>
        <v>2.333333333333321</v>
      </c>
      <c r="W81">
        <f t="shared" ca="1" si="48"/>
        <v>9.5207972893961053</v>
      </c>
      <c r="X81">
        <f t="shared" ca="1" si="49"/>
        <v>-2.5207972893961412</v>
      </c>
      <c r="Y81">
        <f t="shared" ca="1" si="50"/>
        <v>0</v>
      </c>
      <c r="Z81" t="e">
        <f t="shared" ca="1" si="51"/>
        <v>#NUM!</v>
      </c>
      <c r="AA81" t="e">
        <f t="shared" ca="1" si="52"/>
        <v>#NUM!</v>
      </c>
      <c r="AB81" t="e">
        <f t="shared" ca="1" si="53"/>
        <v>#NUM!</v>
      </c>
      <c r="AC81" t="e">
        <f t="shared" ca="1" si="54"/>
        <v>#NUM!</v>
      </c>
      <c r="AD81" t="e">
        <f t="shared" ca="1" si="55"/>
        <v>#NUM!</v>
      </c>
      <c r="AE81">
        <f t="shared" ca="1" si="56"/>
        <v>0</v>
      </c>
    </row>
    <row r="82" spans="1:31" x14ac:dyDescent="0.2">
      <c r="A82" s="6"/>
      <c r="B82" s="7" t="str">
        <f t="shared" si="57"/>
        <v/>
      </c>
      <c r="C82">
        <f ca="1">IF(A82&lt;1,LOOKUP(A82,Computations!$C$2:$C$100,Computations!$A$2:$A$100),n)</f>
        <v>2</v>
      </c>
      <c r="D82">
        <f t="shared" ca="1" si="29"/>
        <v>1.4999999999999999E-2</v>
      </c>
      <c r="E82">
        <f t="shared" ca="1" si="30"/>
        <v>0.03</v>
      </c>
      <c r="F82">
        <f t="shared" ca="1" si="31"/>
        <v>-1.6666666666666774E-3</v>
      </c>
      <c r="G82">
        <f t="shared" ca="1" si="32"/>
        <v>1.1666666666666679E-2</v>
      </c>
      <c r="H82">
        <f t="shared" ca="1" si="33"/>
        <v>0.04</v>
      </c>
      <c r="I82">
        <f t="shared" ca="1" si="34"/>
        <v>0</v>
      </c>
      <c r="J82">
        <f t="shared" ca="1" si="35"/>
        <v>0</v>
      </c>
      <c r="K82">
        <f t="shared" ca="1" si="36"/>
        <v>0</v>
      </c>
      <c r="L82">
        <f t="shared" ca="1" si="37"/>
        <v>0</v>
      </c>
      <c r="M82">
        <f t="shared" ca="1" si="38"/>
        <v>-40.333333333333002</v>
      </c>
      <c r="N82">
        <f t="shared" ca="1" si="39"/>
        <v>-81.407407407406353</v>
      </c>
      <c r="O82">
        <f t="shared" ca="1" si="40"/>
        <v>-773.3333333333162</v>
      </c>
      <c r="P82">
        <f t="shared" ca="1" si="41"/>
        <v>49.296296296295687</v>
      </c>
      <c r="Q82">
        <f t="shared" ca="1" si="42"/>
        <v>3.6666666666666514</v>
      </c>
      <c r="R82">
        <f t="shared" ca="1" si="43"/>
        <v>0.59936328097424707</v>
      </c>
      <c r="S82">
        <f t="shared" ca="1" si="44"/>
        <v>-3.6666666666666514</v>
      </c>
      <c r="T82">
        <f t="shared" ca="1" si="45"/>
        <v>0.98010872128129278</v>
      </c>
      <c r="U82">
        <f t="shared" ca="1" si="46"/>
        <v>0.34374508491765693</v>
      </c>
      <c r="V82">
        <f t="shared" ca="1" si="47"/>
        <v>2.333333333333321</v>
      </c>
      <c r="W82">
        <f t="shared" ca="1" si="48"/>
        <v>9.5207972893961053</v>
      </c>
      <c r="X82">
        <f t="shared" ca="1" si="49"/>
        <v>-2.5207972893961412</v>
      </c>
      <c r="Y82">
        <f t="shared" ca="1" si="50"/>
        <v>0</v>
      </c>
      <c r="Z82" t="e">
        <f t="shared" ca="1" si="51"/>
        <v>#NUM!</v>
      </c>
      <c r="AA82" t="e">
        <f t="shared" ca="1" si="52"/>
        <v>#NUM!</v>
      </c>
      <c r="AB82" t="e">
        <f t="shared" ca="1" si="53"/>
        <v>#NUM!</v>
      </c>
      <c r="AC82" t="e">
        <f t="shared" ca="1" si="54"/>
        <v>#NUM!</v>
      </c>
      <c r="AD82" t="e">
        <f t="shared" ca="1" si="55"/>
        <v>#NUM!</v>
      </c>
      <c r="AE82">
        <f t="shared" ca="1" si="56"/>
        <v>0</v>
      </c>
    </row>
    <row r="83" spans="1:31" x14ac:dyDescent="0.2">
      <c r="A83" s="6"/>
      <c r="B83" s="7" t="str">
        <f t="shared" si="57"/>
        <v/>
      </c>
      <c r="C83">
        <f ca="1">IF(A83&lt;1,LOOKUP(A83,Computations!$C$2:$C$100,Computations!$A$2:$A$100),n)</f>
        <v>2</v>
      </c>
      <c r="D83">
        <f t="shared" ca="1" si="29"/>
        <v>1.4999999999999999E-2</v>
      </c>
      <c r="E83">
        <f t="shared" ca="1" si="30"/>
        <v>0.03</v>
      </c>
      <c r="F83">
        <f t="shared" ca="1" si="31"/>
        <v>-1.6666666666666774E-3</v>
      </c>
      <c r="G83">
        <f t="shared" ca="1" si="32"/>
        <v>1.1666666666666679E-2</v>
      </c>
      <c r="H83">
        <f t="shared" ca="1" si="33"/>
        <v>0.04</v>
      </c>
      <c r="I83">
        <f t="shared" ca="1" si="34"/>
        <v>0</v>
      </c>
      <c r="J83">
        <f t="shared" ca="1" si="35"/>
        <v>0</v>
      </c>
      <c r="K83">
        <f t="shared" ca="1" si="36"/>
        <v>0</v>
      </c>
      <c r="L83">
        <f t="shared" ca="1" si="37"/>
        <v>0</v>
      </c>
      <c r="M83">
        <f t="shared" ca="1" si="38"/>
        <v>-40.333333333333002</v>
      </c>
      <c r="N83">
        <f t="shared" ca="1" si="39"/>
        <v>-81.407407407406353</v>
      </c>
      <c r="O83">
        <f t="shared" ca="1" si="40"/>
        <v>-773.3333333333162</v>
      </c>
      <c r="P83">
        <f t="shared" ca="1" si="41"/>
        <v>49.296296296295687</v>
      </c>
      <c r="Q83">
        <f t="shared" ca="1" si="42"/>
        <v>3.6666666666666514</v>
      </c>
      <c r="R83">
        <f t="shared" ca="1" si="43"/>
        <v>0.59936328097424707</v>
      </c>
      <c r="S83">
        <f t="shared" ca="1" si="44"/>
        <v>-3.6666666666666514</v>
      </c>
      <c r="T83">
        <f t="shared" ca="1" si="45"/>
        <v>0.98010872128129278</v>
      </c>
      <c r="U83">
        <f t="shared" ca="1" si="46"/>
        <v>0.34374508491765693</v>
      </c>
      <c r="V83">
        <f t="shared" ca="1" si="47"/>
        <v>2.333333333333321</v>
      </c>
      <c r="W83">
        <f t="shared" ca="1" si="48"/>
        <v>9.5207972893961053</v>
      </c>
      <c r="X83">
        <f t="shared" ca="1" si="49"/>
        <v>-2.5207972893961412</v>
      </c>
      <c r="Y83">
        <f t="shared" ca="1" si="50"/>
        <v>0</v>
      </c>
      <c r="Z83" t="e">
        <f t="shared" ca="1" si="51"/>
        <v>#NUM!</v>
      </c>
      <c r="AA83" t="e">
        <f t="shared" ca="1" si="52"/>
        <v>#NUM!</v>
      </c>
      <c r="AB83" t="e">
        <f t="shared" ca="1" si="53"/>
        <v>#NUM!</v>
      </c>
      <c r="AC83" t="e">
        <f t="shared" ca="1" si="54"/>
        <v>#NUM!</v>
      </c>
      <c r="AD83" t="e">
        <f t="shared" ca="1" si="55"/>
        <v>#NUM!</v>
      </c>
      <c r="AE83">
        <f t="shared" ca="1" si="56"/>
        <v>0</v>
      </c>
    </row>
    <row r="84" spans="1:31" x14ac:dyDescent="0.2">
      <c r="A84" s="6"/>
      <c r="B84" s="7" t="str">
        <f t="shared" si="57"/>
        <v/>
      </c>
      <c r="C84">
        <f ca="1">IF(A84&lt;1,LOOKUP(A84,Computations!$C$2:$C$100,Computations!$A$2:$A$100),n)</f>
        <v>2</v>
      </c>
      <c r="D84">
        <f t="shared" ca="1" si="29"/>
        <v>1.4999999999999999E-2</v>
      </c>
      <c r="E84">
        <f t="shared" ca="1" si="30"/>
        <v>0.03</v>
      </c>
      <c r="F84">
        <f t="shared" ca="1" si="31"/>
        <v>-1.6666666666666774E-3</v>
      </c>
      <c r="G84">
        <f t="shared" ca="1" si="32"/>
        <v>1.1666666666666679E-2</v>
      </c>
      <c r="H84">
        <f t="shared" ca="1" si="33"/>
        <v>0.04</v>
      </c>
      <c r="I84">
        <f t="shared" ca="1" si="34"/>
        <v>0</v>
      </c>
      <c r="J84">
        <f t="shared" ca="1" si="35"/>
        <v>0</v>
      </c>
      <c r="K84">
        <f t="shared" ca="1" si="36"/>
        <v>0</v>
      </c>
      <c r="L84">
        <f t="shared" ca="1" si="37"/>
        <v>0</v>
      </c>
      <c r="M84">
        <f t="shared" ca="1" si="38"/>
        <v>-40.333333333333002</v>
      </c>
      <c r="N84">
        <f t="shared" ca="1" si="39"/>
        <v>-81.407407407406353</v>
      </c>
      <c r="O84">
        <f t="shared" ca="1" si="40"/>
        <v>-773.3333333333162</v>
      </c>
      <c r="P84">
        <f t="shared" ca="1" si="41"/>
        <v>49.296296296295687</v>
      </c>
      <c r="Q84">
        <f t="shared" ca="1" si="42"/>
        <v>3.6666666666666514</v>
      </c>
      <c r="R84">
        <f t="shared" ca="1" si="43"/>
        <v>0.59936328097424707</v>
      </c>
      <c r="S84">
        <f t="shared" ca="1" si="44"/>
        <v>-3.6666666666666514</v>
      </c>
      <c r="T84">
        <f t="shared" ca="1" si="45"/>
        <v>0.98010872128129278</v>
      </c>
      <c r="U84">
        <f t="shared" ca="1" si="46"/>
        <v>0.34374508491765693</v>
      </c>
      <c r="V84">
        <f t="shared" ca="1" si="47"/>
        <v>2.333333333333321</v>
      </c>
      <c r="W84">
        <f t="shared" ca="1" si="48"/>
        <v>9.5207972893961053</v>
      </c>
      <c r="X84">
        <f t="shared" ca="1" si="49"/>
        <v>-2.5207972893961412</v>
      </c>
      <c r="Y84">
        <f t="shared" ca="1" si="50"/>
        <v>0</v>
      </c>
      <c r="Z84" t="e">
        <f t="shared" ca="1" si="51"/>
        <v>#NUM!</v>
      </c>
      <c r="AA84" t="e">
        <f t="shared" ca="1" si="52"/>
        <v>#NUM!</v>
      </c>
      <c r="AB84" t="e">
        <f t="shared" ca="1" si="53"/>
        <v>#NUM!</v>
      </c>
      <c r="AC84" t="e">
        <f t="shared" ca="1" si="54"/>
        <v>#NUM!</v>
      </c>
      <c r="AD84" t="e">
        <f t="shared" ca="1" si="55"/>
        <v>#NUM!</v>
      </c>
      <c r="AE84">
        <f t="shared" ca="1" si="56"/>
        <v>0</v>
      </c>
    </row>
    <row r="85" spans="1:31" x14ac:dyDescent="0.2">
      <c r="A85" s="6"/>
      <c r="B85" s="7" t="str">
        <f t="shared" si="57"/>
        <v/>
      </c>
      <c r="C85">
        <f ca="1">IF(A85&lt;1,LOOKUP(A85,Computations!$C$2:$C$100,Computations!$A$2:$A$100),n)</f>
        <v>2</v>
      </c>
      <c r="D85">
        <f t="shared" ca="1" si="29"/>
        <v>1.4999999999999999E-2</v>
      </c>
      <c r="E85">
        <f t="shared" ca="1" si="30"/>
        <v>0.03</v>
      </c>
      <c r="F85">
        <f t="shared" ca="1" si="31"/>
        <v>-1.6666666666666774E-3</v>
      </c>
      <c r="G85">
        <f t="shared" ca="1" si="32"/>
        <v>1.1666666666666679E-2</v>
      </c>
      <c r="H85">
        <f t="shared" ca="1" si="33"/>
        <v>0.04</v>
      </c>
      <c r="I85">
        <f t="shared" ca="1" si="34"/>
        <v>0</v>
      </c>
      <c r="J85">
        <f t="shared" ca="1" si="35"/>
        <v>0</v>
      </c>
      <c r="K85">
        <f t="shared" ca="1" si="36"/>
        <v>0</v>
      </c>
      <c r="L85">
        <f t="shared" ca="1" si="37"/>
        <v>0</v>
      </c>
      <c r="M85">
        <f t="shared" ca="1" si="38"/>
        <v>-40.333333333333002</v>
      </c>
      <c r="N85">
        <f t="shared" ca="1" si="39"/>
        <v>-81.407407407406353</v>
      </c>
      <c r="O85">
        <f t="shared" ca="1" si="40"/>
        <v>-773.3333333333162</v>
      </c>
      <c r="P85">
        <f t="shared" ca="1" si="41"/>
        <v>49.296296296295687</v>
      </c>
      <c r="Q85">
        <f t="shared" ca="1" si="42"/>
        <v>3.6666666666666514</v>
      </c>
      <c r="R85">
        <f t="shared" ca="1" si="43"/>
        <v>0.59936328097424707</v>
      </c>
      <c r="S85">
        <f t="shared" ca="1" si="44"/>
        <v>-3.6666666666666514</v>
      </c>
      <c r="T85">
        <f t="shared" ca="1" si="45"/>
        <v>0.98010872128129278</v>
      </c>
      <c r="U85">
        <f t="shared" ca="1" si="46"/>
        <v>0.34374508491765693</v>
      </c>
      <c r="V85">
        <f t="shared" ca="1" si="47"/>
        <v>2.333333333333321</v>
      </c>
      <c r="W85">
        <f t="shared" ca="1" si="48"/>
        <v>9.5207972893961053</v>
      </c>
      <c r="X85">
        <f t="shared" ca="1" si="49"/>
        <v>-2.5207972893961412</v>
      </c>
      <c r="Y85">
        <f t="shared" ca="1" si="50"/>
        <v>0</v>
      </c>
      <c r="Z85" t="e">
        <f t="shared" ca="1" si="51"/>
        <v>#NUM!</v>
      </c>
      <c r="AA85" t="e">
        <f t="shared" ca="1" si="52"/>
        <v>#NUM!</v>
      </c>
      <c r="AB85" t="e">
        <f t="shared" ca="1" si="53"/>
        <v>#NUM!</v>
      </c>
      <c r="AC85" t="e">
        <f t="shared" ca="1" si="54"/>
        <v>#NUM!</v>
      </c>
      <c r="AD85" t="e">
        <f t="shared" ca="1" si="55"/>
        <v>#NUM!</v>
      </c>
      <c r="AE85">
        <f t="shared" ca="1" si="56"/>
        <v>0</v>
      </c>
    </row>
    <row r="86" spans="1:31" x14ac:dyDescent="0.2">
      <c r="A86" s="6"/>
      <c r="B86" s="7" t="str">
        <f t="shared" si="57"/>
        <v/>
      </c>
      <c r="C86">
        <f ca="1">IF(A86&lt;1,LOOKUP(A86,Computations!$C$2:$C$100,Computations!$A$2:$A$100),n)</f>
        <v>2</v>
      </c>
      <c r="D86">
        <f t="shared" ca="1" si="29"/>
        <v>1.4999999999999999E-2</v>
      </c>
      <c r="E86">
        <f t="shared" ca="1" si="30"/>
        <v>0.03</v>
      </c>
      <c r="F86">
        <f t="shared" ca="1" si="31"/>
        <v>-1.6666666666666774E-3</v>
      </c>
      <c r="G86">
        <f t="shared" ca="1" si="32"/>
        <v>1.1666666666666679E-2</v>
      </c>
      <c r="H86">
        <f t="shared" ca="1" si="33"/>
        <v>0.04</v>
      </c>
      <c r="I86">
        <f t="shared" ca="1" si="34"/>
        <v>0</v>
      </c>
      <c r="J86">
        <f t="shared" ca="1" si="35"/>
        <v>0</v>
      </c>
      <c r="K86">
        <f t="shared" ca="1" si="36"/>
        <v>0</v>
      </c>
      <c r="L86">
        <f t="shared" ca="1" si="37"/>
        <v>0</v>
      </c>
      <c r="M86">
        <f t="shared" ca="1" si="38"/>
        <v>-40.333333333333002</v>
      </c>
      <c r="N86">
        <f t="shared" ca="1" si="39"/>
        <v>-81.407407407406353</v>
      </c>
      <c r="O86">
        <f t="shared" ca="1" si="40"/>
        <v>-773.3333333333162</v>
      </c>
      <c r="P86">
        <f t="shared" ca="1" si="41"/>
        <v>49.296296296295687</v>
      </c>
      <c r="Q86">
        <f t="shared" ca="1" si="42"/>
        <v>3.6666666666666514</v>
      </c>
      <c r="R86">
        <f t="shared" ca="1" si="43"/>
        <v>0.59936328097424707</v>
      </c>
      <c r="S86">
        <f t="shared" ca="1" si="44"/>
        <v>-3.6666666666666514</v>
      </c>
      <c r="T86">
        <f t="shared" ca="1" si="45"/>
        <v>0.98010872128129278</v>
      </c>
      <c r="U86">
        <f t="shared" ca="1" si="46"/>
        <v>0.34374508491765693</v>
      </c>
      <c r="V86">
        <f t="shared" ca="1" si="47"/>
        <v>2.333333333333321</v>
      </c>
      <c r="W86">
        <f t="shared" ca="1" si="48"/>
        <v>9.5207972893961053</v>
      </c>
      <c r="X86">
        <f t="shared" ca="1" si="49"/>
        <v>-2.5207972893961412</v>
      </c>
      <c r="Y86">
        <f t="shared" ca="1" si="50"/>
        <v>0</v>
      </c>
      <c r="Z86" t="e">
        <f t="shared" ca="1" si="51"/>
        <v>#NUM!</v>
      </c>
      <c r="AA86" t="e">
        <f t="shared" ca="1" si="52"/>
        <v>#NUM!</v>
      </c>
      <c r="AB86" t="e">
        <f t="shared" ca="1" si="53"/>
        <v>#NUM!</v>
      </c>
      <c r="AC86" t="e">
        <f t="shared" ca="1" si="54"/>
        <v>#NUM!</v>
      </c>
      <c r="AD86" t="e">
        <f t="shared" ca="1" si="55"/>
        <v>#NUM!</v>
      </c>
      <c r="AE86">
        <f t="shared" ca="1" si="56"/>
        <v>0</v>
      </c>
    </row>
    <row r="87" spans="1:31" x14ac:dyDescent="0.2">
      <c r="A87" s="6"/>
      <c r="B87" s="7" t="str">
        <f t="shared" si="57"/>
        <v/>
      </c>
      <c r="C87">
        <f ca="1">IF(A87&lt;1,LOOKUP(A87,Computations!$C$2:$C$100,Computations!$A$2:$A$100),n)</f>
        <v>2</v>
      </c>
      <c r="D87">
        <f t="shared" ca="1" si="29"/>
        <v>1.4999999999999999E-2</v>
      </c>
      <c r="E87">
        <f t="shared" ca="1" si="30"/>
        <v>0.03</v>
      </c>
      <c r="F87">
        <f t="shared" ca="1" si="31"/>
        <v>-1.6666666666666774E-3</v>
      </c>
      <c r="G87">
        <f t="shared" ca="1" si="32"/>
        <v>1.1666666666666679E-2</v>
      </c>
      <c r="H87">
        <f t="shared" ca="1" si="33"/>
        <v>0.04</v>
      </c>
      <c r="I87">
        <f t="shared" ca="1" si="34"/>
        <v>0</v>
      </c>
      <c r="J87">
        <f t="shared" ca="1" si="35"/>
        <v>0</v>
      </c>
      <c r="K87">
        <f t="shared" ca="1" si="36"/>
        <v>0</v>
      </c>
      <c r="L87">
        <f t="shared" ca="1" si="37"/>
        <v>0</v>
      </c>
      <c r="M87">
        <f t="shared" ca="1" si="38"/>
        <v>-40.333333333333002</v>
      </c>
      <c r="N87">
        <f t="shared" ca="1" si="39"/>
        <v>-81.407407407406353</v>
      </c>
      <c r="O87">
        <f t="shared" ca="1" si="40"/>
        <v>-773.3333333333162</v>
      </c>
      <c r="P87">
        <f t="shared" ca="1" si="41"/>
        <v>49.296296296295687</v>
      </c>
      <c r="Q87">
        <f t="shared" ca="1" si="42"/>
        <v>3.6666666666666514</v>
      </c>
      <c r="R87">
        <f t="shared" ca="1" si="43"/>
        <v>0.59936328097424707</v>
      </c>
      <c r="S87">
        <f t="shared" ca="1" si="44"/>
        <v>-3.6666666666666514</v>
      </c>
      <c r="T87">
        <f t="shared" ca="1" si="45"/>
        <v>0.98010872128129278</v>
      </c>
      <c r="U87">
        <f t="shared" ca="1" si="46"/>
        <v>0.34374508491765693</v>
      </c>
      <c r="V87">
        <f t="shared" ca="1" si="47"/>
        <v>2.333333333333321</v>
      </c>
      <c r="W87">
        <f t="shared" ca="1" si="48"/>
        <v>9.5207972893961053</v>
      </c>
      <c r="X87">
        <f t="shared" ca="1" si="49"/>
        <v>-2.5207972893961412</v>
      </c>
      <c r="Y87">
        <f t="shared" ca="1" si="50"/>
        <v>0</v>
      </c>
      <c r="Z87" t="e">
        <f t="shared" ca="1" si="51"/>
        <v>#NUM!</v>
      </c>
      <c r="AA87" t="e">
        <f t="shared" ca="1" si="52"/>
        <v>#NUM!</v>
      </c>
      <c r="AB87" t="e">
        <f t="shared" ca="1" si="53"/>
        <v>#NUM!</v>
      </c>
      <c r="AC87" t="e">
        <f t="shared" ca="1" si="54"/>
        <v>#NUM!</v>
      </c>
      <c r="AD87" t="e">
        <f t="shared" ca="1" si="55"/>
        <v>#NUM!</v>
      </c>
      <c r="AE87">
        <f t="shared" ca="1" si="56"/>
        <v>0</v>
      </c>
    </row>
    <row r="88" spans="1:31" x14ac:dyDescent="0.2">
      <c r="A88" s="6"/>
      <c r="B88" s="7" t="str">
        <f t="shared" si="57"/>
        <v/>
      </c>
      <c r="C88">
        <f ca="1">IF(A88&lt;1,LOOKUP(A88,Computations!$C$2:$C$100,Computations!$A$2:$A$100),n)</f>
        <v>2</v>
      </c>
      <c r="D88">
        <f t="shared" ca="1" si="29"/>
        <v>1.4999999999999999E-2</v>
      </c>
      <c r="E88">
        <f t="shared" ca="1" si="30"/>
        <v>0.03</v>
      </c>
      <c r="F88">
        <f t="shared" ca="1" si="31"/>
        <v>-1.6666666666666774E-3</v>
      </c>
      <c r="G88">
        <f t="shared" ca="1" si="32"/>
        <v>1.1666666666666679E-2</v>
      </c>
      <c r="H88">
        <f t="shared" ca="1" si="33"/>
        <v>0.04</v>
      </c>
      <c r="I88">
        <f t="shared" ca="1" si="34"/>
        <v>0</v>
      </c>
      <c r="J88">
        <f t="shared" ca="1" si="35"/>
        <v>0</v>
      </c>
      <c r="K88">
        <f t="shared" ca="1" si="36"/>
        <v>0</v>
      </c>
      <c r="L88">
        <f t="shared" ca="1" si="37"/>
        <v>0</v>
      </c>
      <c r="M88">
        <f t="shared" ca="1" si="38"/>
        <v>-40.333333333333002</v>
      </c>
      <c r="N88">
        <f t="shared" ca="1" si="39"/>
        <v>-81.407407407406353</v>
      </c>
      <c r="O88">
        <f t="shared" ca="1" si="40"/>
        <v>-773.3333333333162</v>
      </c>
      <c r="P88">
        <f t="shared" ca="1" si="41"/>
        <v>49.296296296295687</v>
      </c>
      <c r="Q88">
        <f t="shared" ca="1" si="42"/>
        <v>3.6666666666666514</v>
      </c>
      <c r="R88">
        <f t="shared" ca="1" si="43"/>
        <v>0.59936328097424707</v>
      </c>
      <c r="S88">
        <f t="shared" ca="1" si="44"/>
        <v>-3.6666666666666514</v>
      </c>
      <c r="T88">
        <f t="shared" ca="1" si="45"/>
        <v>0.98010872128129278</v>
      </c>
      <c r="U88">
        <f t="shared" ca="1" si="46"/>
        <v>0.34374508491765693</v>
      </c>
      <c r="V88">
        <f t="shared" ca="1" si="47"/>
        <v>2.333333333333321</v>
      </c>
      <c r="W88">
        <f t="shared" ca="1" si="48"/>
        <v>9.5207972893961053</v>
      </c>
      <c r="X88">
        <f t="shared" ca="1" si="49"/>
        <v>-2.5207972893961412</v>
      </c>
      <c r="Y88">
        <f t="shared" ca="1" si="50"/>
        <v>0</v>
      </c>
      <c r="Z88" t="e">
        <f t="shared" ca="1" si="51"/>
        <v>#NUM!</v>
      </c>
      <c r="AA88" t="e">
        <f t="shared" ca="1" si="52"/>
        <v>#NUM!</v>
      </c>
      <c r="AB88" t="e">
        <f t="shared" ca="1" si="53"/>
        <v>#NUM!</v>
      </c>
      <c r="AC88" t="e">
        <f t="shared" ca="1" si="54"/>
        <v>#NUM!</v>
      </c>
      <c r="AD88" t="e">
        <f t="shared" ca="1" si="55"/>
        <v>#NUM!</v>
      </c>
      <c r="AE88">
        <f t="shared" ca="1" si="56"/>
        <v>0</v>
      </c>
    </row>
    <row r="89" spans="1:31" x14ac:dyDescent="0.2">
      <c r="A89" s="6"/>
      <c r="B89" s="7" t="str">
        <f t="shared" si="57"/>
        <v/>
      </c>
      <c r="C89">
        <f ca="1">IF(A89&lt;1,LOOKUP(A89,Computations!$C$2:$C$100,Computations!$A$2:$A$100),n)</f>
        <v>2</v>
      </c>
      <c r="D89">
        <f t="shared" ca="1" si="29"/>
        <v>1.4999999999999999E-2</v>
      </c>
      <c r="E89">
        <f t="shared" ca="1" si="30"/>
        <v>0.03</v>
      </c>
      <c r="F89">
        <f t="shared" ca="1" si="31"/>
        <v>-1.6666666666666774E-3</v>
      </c>
      <c r="G89">
        <f t="shared" ca="1" si="32"/>
        <v>1.1666666666666679E-2</v>
      </c>
      <c r="H89">
        <f t="shared" ca="1" si="33"/>
        <v>0.04</v>
      </c>
      <c r="I89">
        <f t="shared" ca="1" si="34"/>
        <v>0</v>
      </c>
      <c r="J89">
        <f t="shared" ca="1" si="35"/>
        <v>0</v>
      </c>
      <c r="K89">
        <f t="shared" ca="1" si="36"/>
        <v>0</v>
      </c>
      <c r="L89">
        <f t="shared" ca="1" si="37"/>
        <v>0</v>
      </c>
      <c r="M89">
        <f t="shared" ca="1" si="38"/>
        <v>-40.333333333333002</v>
      </c>
      <c r="N89">
        <f t="shared" ca="1" si="39"/>
        <v>-81.407407407406353</v>
      </c>
      <c r="O89">
        <f t="shared" ca="1" si="40"/>
        <v>-773.3333333333162</v>
      </c>
      <c r="P89">
        <f t="shared" ca="1" si="41"/>
        <v>49.296296296295687</v>
      </c>
      <c r="Q89">
        <f t="shared" ca="1" si="42"/>
        <v>3.6666666666666514</v>
      </c>
      <c r="R89">
        <f t="shared" ca="1" si="43"/>
        <v>0.59936328097424707</v>
      </c>
      <c r="S89">
        <f t="shared" ca="1" si="44"/>
        <v>-3.6666666666666514</v>
      </c>
      <c r="T89">
        <f t="shared" ca="1" si="45"/>
        <v>0.98010872128129278</v>
      </c>
      <c r="U89">
        <f t="shared" ca="1" si="46"/>
        <v>0.34374508491765693</v>
      </c>
      <c r="V89">
        <f t="shared" ca="1" si="47"/>
        <v>2.333333333333321</v>
      </c>
      <c r="W89">
        <f t="shared" ca="1" si="48"/>
        <v>9.5207972893961053</v>
      </c>
      <c r="X89">
        <f t="shared" ca="1" si="49"/>
        <v>-2.5207972893961412</v>
      </c>
      <c r="Y89">
        <f t="shared" ca="1" si="50"/>
        <v>0</v>
      </c>
      <c r="Z89" t="e">
        <f t="shared" ca="1" si="51"/>
        <v>#NUM!</v>
      </c>
      <c r="AA89" t="e">
        <f t="shared" ca="1" si="52"/>
        <v>#NUM!</v>
      </c>
      <c r="AB89" t="e">
        <f t="shared" ca="1" si="53"/>
        <v>#NUM!</v>
      </c>
      <c r="AC89" t="e">
        <f t="shared" ca="1" si="54"/>
        <v>#NUM!</v>
      </c>
      <c r="AD89" t="e">
        <f t="shared" ca="1" si="55"/>
        <v>#NUM!</v>
      </c>
      <c r="AE89">
        <f t="shared" ca="1" si="56"/>
        <v>0</v>
      </c>
    </row>
    <row r="90" spans="1:31" x14ac:dyDescent="0.2">
      <c r="A90" s="6"/>
      <c r="B90" s="7" t="str">
        <f t="shared" si="57"/>
        <v/>
      </c>
      <c r="C90">
        <f ca="1">IF(A90&lt;1,LOOKUP(A90,Computations!$C$2:$C$100,Computations!$A$2:$A$100),n)</f>
        <v>2</v>
      </c>
      <c r="D90">
        <f t="shared" ca="1" si="29"/>
        <v>1.4999999999999999E-2</v>
      </c>
      <c r="E90">
        <f t="shared" ca="1" si="30"/>
        <v>0.03</v>
      </c>
      <c r="F90">
        <f t="shared" ca="1" si="31"/>
        <v>-1.6666666666666774E-3</v>
      </c>
      <c r="G90">
        <f t="shared" ca="1" si="32"/>
        <v>1.1666666666666679E-2</v>
      </c>
      <c r="H90">
        <f t="shared" ca="1" si="33"/>
        <v>0.04</v>
      </c>
      <c r="I90">
        <f t="shared" ca="1" si="34"/>
        <v>0</v>
      </c>
      <c r="J90">
        <f t="shared" ca="1" si="35"/>
        <v>0</v>
      </c>
      <c r="K90">
        <f t="shared" ca="1" si="36"/>
        <v>0</v>
      </c>
      <c r="L90">
        <f t="shared" ca="1" si="37"/>
        <v>0</v>
      </c>
      <c r="M90">
        <f t="shared" ca="1" si="38"/>
        <v>-40.333333333333002</v>
      </c>
      <c r="N90">
        <f t="shared" ca="1" si="39"/>
        <v>-81.407407407406353</v>
      </c>
      <c r="O90">
        <f t="shared" ca="1" si="40"/>
        <v>-773.3333333333162</v>
      </c>
      <c r="P90">
        <f t="shared" ca="1" si="41"/>
        <v>49.296296296295687</v>
      </c>
      <c r="Q90">
        <f t="shared" ca="1" si="42"/>
        <v>3.6666666666666514</v>
      </c>
      <c r="R90">
        <f t="shared" ca="1" si="43"/>
        <v>0.59936328097424707</v>
      </c>
      <c r="S90">
        <f t="shared" ca="1" si="44"/>
        <v>-3.6666666666666514</v>
      </c>
      <c r="T90">
        <f t="shared" ca="1" si="45"/>
        <v>0.98010872128129278</v>
      </c>
      <c r="U90">
        <f t="shared" ca="1" si="46"/>
        <v>0.34374508491765693</v>
      </c>
      <c r="V90">
        <f t="shared" ca="1" si="47"/>
        <v>2.333333333333321</v>
      </c>
      <c r="W90">
        <f t="shared" ca="1" si="48"/>
        <v>9.5207972893961053</v>
      </c>
      <c r="X90">
        <f t="shared" ca="1" si="49"/>
        <v>-2.5207972893961412</v>
      </c>
      <c r="Y90">
        <f t="shared" ca="1" si="50"/>
        <v>0</v>
      </c>
      <c r="Z90" t="e">
        <f t="shared" ca="1" si="51"/>
        <v>#NUM!</v>
      </c>
      <c r="AA90" t="e">
        <f t="shared" ca="1" si="52"/>
        <v>#NUM!</v>
      </c>
      <c r="AB90" t="e">
        <f t="shared" ca="1" si="53"/>
        <v>#NUM!</v>
      </c>
      <c r="AC90" t="e">
        <f t="shared" ca="1" si="54"/>
        <v>#NUM!</v>
      </c>
      <c r="AD90" t="e">
        <f t="shared" ca="1" si="55"/>
        <v>#NUM!</v>
      </c>
      <c r="AE90">
        <f t="shared" ca="1" si="56"/>
        <v>0</v>
      </c>
    </row>
    <row r="91" spans="1:31" x14ac:dyDescent="0.2">
      <c r="A91" s="6"/>
      <c r="B91" s="7" t="str">
        <f t="shared" si="57"/>
        <v/>
      </c>
      <c r="C91">
        <f ca="1">IF(A91&lt;1,LOOKUP(A91,Computations!$C$2:$C$100,Computations!$A$2:$A$100),n)</f>
        <v>2</v>
      </c>
      <c r="D91">
        <f t="shared" ca="1" si="29"/>
        <v>1.4999999999999999E-2</v>
      </c>
      <c r="E91">
        <f t="shared" ca="1" si="30"/>
        <v>0.03</v>
      </c>
      <c r="F91">
        <f t="shared" ca="1" si="31"/>
        <v>-1.6666666666666774E-3</v>
      </c>
      <c r="G91">
        <f t="shared" ca="1" si="32"/>
        <v>1.1666666666666679E-2</v>
      </c>
      <c r="H91">
        <f t="shared" ca="1" si="33"/>
        <v>0.04</v>
      </c>
      <c r="I91">
        <f t="shared" ca="1" si="34"/>
        <v>0</v>
      </c>
      <c r="J91">
        <f t="shared" ca="1" si="35"/>
        <v>0</v>
      </c>
      <c r="K91">
        <f t="shared" ca="1" si="36"/>
        <v>0</v>
      </c>
      <c r="L91">
        <f t="shared" ca="1" si="37"/>
        <v>0</v>
      </c>
      <c r="M91">
        <f t="shared" ca="1" si="38"/>
        <v>-40.333333333333002</v>
      </c>
      <c r="N91">
        <f t="shared" ca="1" si="39"/>
        <v>-81.407407407406353</v>
      </c>
      <c r="O91">
        <f t="shared" ca="1" si="40"/>
        <v>-773.3333333333162</v>
      </c>
      <c r="P91">
        <f t="shared" ca="1" si="41"/>
        <v>49.296296296295687</v>
      </c>
      <c r="Q91">
        <f t="shared" ca="1" si="42"/>
        <v>3.6666666666666514</v>
      </c>
      <c r="R91">
        <f t="shared" ca="1" si="43"/>
        <v>0.59936328097424707</v>
      </c>
      <c r="S91">
        <f t="shared" ca="1" si="44"/>
        <v>-3.6666666666666514</v>
      </c>
      <c r="T91">
        <f t="shared" ca="1" si="45"/>
        <v>0.98010872128129278</v>
      </c>
      <c r="U91">
        <f t="shared" ca="1" si="46"/>
        <v>0.34374508491765693</v>
      </c>
      <c r="V91">
        <f t="shared" ca="1" si="47"/>
        <v>2.333333333333321</v>
      </c>
      <c r="W91">
        <f t="shared" ca="1" si="48"/>
        <v>9.5207972893961053</v>
      </c>
      <c r="X91">
        <f t="shared" ca="1" si="49"/>
        <v>-2.5207972893961412</v>
      </c>
      <c r="Y91">
        <f t="shared" ca="1" si="50"/>
        <v>0</v>
      </c>
      <c r="Z91" t="e">
        <f t="shared" ca="1" si="51"/>
        <v>#NUM!</v>
      </c>
      <c r="AA91" t="e">
        <f t="shared" ca="1" si="52"/>
        <v>#NUM!</v>
      </c>
      <c r="AB91" t="e">
        <f t="shared" ca="1" si="53"/>
        <v>#NUM!</v>
      </c>
      <c r="AC91" t="e">
        <f t="shared" ca="1" si="54"/>
        <v>#NUM!</v>
      </c>
      <c r="AD91" t="e">
        <f t="shared" ca="1" si="55"/>
        <v>#NUM!</v>
      </c>
      <c r="AE91">
        <f t="shared" ca="1" si="56"/>
        <v>0</v>
      </c>
    </row>
    <row r="92" spans="1:31" x14ac:dyDescent="0.2">
      <c r="A92" s="6"/>
      <c r="B92" s="7" t="str">
        <f t="shared" si="57"/>
        <v/>
      </c>
      <c r="C92">
        <f ca="1">IF(A92&lt;1,LOOKUP(A92,Computations!$C$2:$C$100,Computations!$A$2:$A$100),n)</f>
        <v>2</v>
      </c>
      <c r="D92">
        <f t="shared" ca="1" si="29"/>
        <v>1.4999999999999999E-2</v>
      </c>
      <c r="E92">
        <f t="shared" ca="1" si="30"/>
        <v>0.03</v>
      </c>
      <c r="F92">
        <f t="shared" ca="1" si="31"/>
        <v>-1.6666666666666774E-3</v>
      </c>
      <c r="G92">
        <f t="shared" ca="1" si="32"/>
        <v>1.1666666666666679E-2</v>
      </c>
      <c r="H92">
        <f t="shared" ca="1" si="33"/>
        <v>0.04</v>
      </c>
      <c r="I92">
        <f t="shared" ca="1" si="34"/>
        <v>0</v>
      </c>
      <c r="J92">
        <f t="shared" ca="1" si="35"/>
        <v>0</v>
      </c>
      <c r="K92">
        <f t="shared" ca="1" si="36"/>
        <v>0</v>
      </c>
      <c r="L92">
        <f t="shared" ca="1" si="37"/>
        <v>0</v>
      </c>
      <c r="M92">
        <f t="shared" ca="1" si="38"/>
        <v>-40.333333333333002</v>
      </c>
      <c r="N92">
        <f t="shared" ca="1" si="39"/>
        <v>-81.407407407406353</v>
      </c>
      <c r="O92">
        <f t="shared" ca="1" si="40"/>
        <v>-773.3333333333162</v>
      </c>
      <c r="P92">
        <f t="shared" ca="1" si="41"/>
        <v>49.296296296295687</v>
      </c>
      <c r="Q92">
        <f t="shared" ca="1" si="42"/>
        <v>3.6666666666666514</v>
      </c>
      <c r="R92">
        <f t="shared" ca="1" si="43"/>
        <v>0.59936328097424707</v>
      </c>
      <c r="S92">
        <f t="shared" ca="1" si="44"/>
        <v>-3.6666666666666514</v>
      </c>
      <c r="T92">
        <f t="shared" ca="1" si="45"/>
        <v>0.98010872128129278</v>
      </c>
      <c r="U92">
        <f t="shared" ca="1" si="46"/>
        <v>0.34374508491765693</v>
      </c>
      <c r="V92">
        <f t="shared" ca="1" si="47"/>
        <v>2.333333333333321</v>
      </c>
      <c r="W92">
        <f t="shared" ca="1" si="48"/>
        <v>9.5207972893961053</v>
      </c>
      <c r="X92">
        <f t="shared" ca="1" si="49"/>
        <v>-2.5207972893961412</v>
      </c>
      <c r="Y92">
        <f t="shared" ca="1" si="50"/>
        <v>0</v>
      </c>
      <c r="Z92" t="e">
        <f t="shared" ca="1" si="51"/>
        <v>#NUM!</v>
      </c>
      <c r="AA92" t="e">
        <f t="shared" ca="1" si="52"/>
        <v>#NUM!</v>
      </c>
      <c r="AB92" t="e">
        <f t="shared" ca="1" si="53"/>
        <v>#NUM!</v>
      </c>
      <c r="AC92" t="e">
        <f t="shared" ca="1" si="54"/>
        <v>#NUM!</v>
      </c>
      <c r="AD92" t="e">
        <f t="shared" ca="1" si="55"/>
        <v>#NUM!</v>
      </c>
      <c r="AE92">
        <f t="shared" ca="1" si="56"/>
        <v>0</v>
      </c>
    </row>
    <row r="93" spans="1:31" x14ac:dyDescent="0.2">
      <c r="A93" s="6"/>
      <c r="B93" s="7" t="str">
        <f t="shared" si="57"/>
        <v/>
      </c>
      <c r="C93">
        <f ca="1">IF(A93&lt;1,LOOKUP(A93,Computations!$C$2:$C$100,Computations!$A$2:$A$100),n)</f>
        <v>2</v>
      </c>
      <c r="D93">
        <f t="shared" ca="1" si="29"/>
        <v>1.4999999999999999E-2</v>
      </c>
      <c r="E93">
        <f t="shared" ca="1" si="30"/>
        <v>0.03</v>
      </c>
      <c r="F93">
        <f t="shared" ca="1" si="31"/>
        <v>-1.6666666666666774E-3</v>
      </c>
      <c r="G93">
        <f t="shared" ca="1" si="32"/>
        <v>1.1666666666666679E-2</v>
      </c>
      <c r="H93">
        <f t="shared" ca="1" si="33"/>
        <v>0.04</v>
      </c>
      <c r="I93">
        <f t="shared" ca="1" si="34"/>
        <v>0</v>
      </c>
      <c r="J93">
        <f t="shared" ca="1" si="35"/>
        <v>0</v>
      </c>
      <c r="K93">
        <f t="shared" ca="1" si="36"/>
        <v>0</v>
      </c>
      <c r="L93">
        <f t="shared" ca="1" si="37"/>
        <v>0</v>
      </c>
      <c r="M93">
        <f t="shared" ca="1" si="38"/>
        <v>-40.333333333333002</v>
      </c>
      <c r="N93">
        <f t="shared" ca="1" si="39"/>
        <v>-81.407407407406353</v>
      </c>
      <c r="O93">
        <f t="shared" ca="1" si="40"/>
        <v>-773.3333333333162</v>
      </c>
      <c r="P93">
        <f t="shared" ca="1" si="41"/>
        <v>49.296296296295687</v>
      </c>
      <c r="Q93">
        <f t="shared" ca="1" si="42"/>
        <v>3.6666666666666514</v>
      </c>
      <c r="R93">
        <f t="shared" ca="1" si="43"/>
        <v>0.59936328097424707</v>
      </c>
      <c r="S93">
        <f t="shared" ca="1" si="44"/>
        <v>-3.6666666666666514</v>
      </c>
      <c r="T93">
        <f t="shared" ca="1" si="45"/>
        <v>0.98010872128129278</v>
      </c>
      <c r="U93">
        <f t="shared" ca="1" si="46"/>
        <v>0.34374508491765693</v>
      </c>
      <c r="V93">
        <f t="shared" ca="1" si="47"/>
        <v>2.333333333333321</v>
      </c>
      <c r="W93">
        <f t="shared" ca="1" si="48"/>
        <v>9.5207972893961053</v>
      </c>
      <c r="X93">
        <f t="shared" ca="1" si="49"/>
        <v>-2.5207972893961412</v>
      </c>
      <c r="Y93">
        <f t="shared" ca="1" si="50"/>
        <v>0</v>
      </c>
      <c r="Z93" t="e">
        <f t="shared" ca="1" si="51"/>
        <v>#NUM!</v>
      </c>
      <c r="AA93" t="e">
        <f t="shared" ca="1" si="52"/>
        <v>#NUM!</v>
      </c>
      <c r="AB93" t="e">
        <f t="shared" ca="1" si="53"/>
        <v>#NUM!</v>
      </c>
      <c r="AC93" t="e">
        <f t="shared" ca="1" si="54"/>
        <v>#NUM!</v>
      </c>
      <c r="AD93" t="e">
        <f t="shared" ca="1" si="55"/>
        <v>#NUM!</v>
      </c>
      <c r="AE93">
        <f t="shared" ca="1" si="56"/>
        <v>0</v>
      </c>
    </row>
    <row r="94" spans="1:31" x14ac:dyDescent="0.2">
      <c r="A94" s="6"/>
      <c r="B94" s="7" t="str">
        <f t="shared" si="57"/>
        <v/>
      </c>
      <c r="C94">
        <f ca="1">IF(A94&lt;1,LOOKUP(A94,Computations!$C$2:$C$100,Computations!$A$2:$A$100),n)</f>
        <v>2</v>
      </c>
      <c r="D94">
        <f t="shared" ca="1" si="29"/>
        <v>1.4999999999999999E-2</v>
      </c>
      <c r="E94">
        <f t="shared" ca="1" si="30"/>
        <v>0.03</v>
      </c>
      <c r="F94">
        <f t="shared" ca="1" si="31"/>
        <v>-1.6666666666666774E-3</v>
      </c>
      <c r="G94">
        <f t="shared" ca="1" si="32"/>
        <v>1.1666666666666679E-2</v>
      </c>
      <c r="H94">
        <f t="shared" ca="1" si="33"/>
        <v>0.04</v>
      </c>
      <c r="I94">
        <f t="shared" ca="1" si="34"/>
        <v>0</v>
      </c>
      <c r="J94">
        <f t="shared" ca="1" si="35"/>
        <v>0</v>
      </c>
      <c r="K94">
        <f t="shared" ca="1" si="36"/>
        <v>0</v>
      </c>
      <c r="L94">
        <f t="shared" ca="1" si="37"/>
        <v>0</v>
      </c>
      <c r="M94">
        <f t="shared" ca="1" si="38"/>
        <v>-40.333333333333002</v>
      </c>
      <c r="N94">
        <f t="shared" ca="1" si="39"/>
        <v>-81.407407407406353</v>
      </c>
      <c r="O94">
        <f t="shared" ca="1" si="40"/>
        <v>-773.3333333333162</v>
      </c>
      <c r="P94">
        <f t="shared" ca="1" si="41"/>
        <v>49.296296296295687</v>
      </c>
      <c r="Q94">
        <f t="shared" ca="1" si="42"/>
        <v>3.6666666666666514</v>
      </c>
      <c r="R94">
        <f t="shared" ca="1" si="43"/>
        <v>0.59936328097424707</v>
      </c>
      <c r="S94">
        <f t="shared" ca="1" si="44"/>
        <v>-3.6666666666666514</v>
      </c>
      <c r="T94">
        <f t="shared" ca="1" si="45"/>
        <v>0.98010872128129278</v>
      </c>
      <c r="U94">
        <f t="shared" ca="1" si="46"/>
        <v>0.34374508491765693</v>
      </c>
      <c r="V94">
        <f t="shared" ca="1" si="47"/>
        <v>2.333333333333321</v>
      </c>
      <c r="W94">
        <f t="shared" ca="1" si="48"/>
        <v>9.5207972893961053</v>
      </c>
      <c r="X94">
        <f t="shared" ca="1" si="49"/>
        <v>-2.5207972893961412</v>
      </c>
      <c r="Y94">
        <f t="shared" ca="1" si="50"/>
        <v>0</v>
      </c>
      <c r="Z94" t="e">
        <f t="shared" ca="1" si="51"/>
        <v>#NUM!</v>
      </c>
      <c r="AA94" t="e">
        <f t="shared" ca="1" si="52"/>
        <v>#NUM!</v>
      </c>
      <c r="AB94" t="e">
        <f t="shared" ca="1" si="53"/>
        <v>#NUM!</v>
      </c>
      <c r="AC94" t="e">
        <f t="shared" ca="1" si="54"/>
        <v>#NUM!</v>
      </c>
      <c r="AD94" t="e">
        <f t="shared" ca="1" si="55"/>
        <v>#NUM!</v>
      </c>
      <c r="AE94">
        <f t="shared" ca="1" si="56"/>
        <v>0</v>
      </c>
    </row>
    <row r="95" spans="1:31" x14ac:dyDescent="0.2">
      <c r="A95" s="6"/>
      <c r="B95" s="7" t="str">
        <f t="shared" si="57"/>
        <v/>
      </c>
      <c r="C95">
        <f ca="1">IF(A95&lt;1,LOOKUP(A95,Computations!$C$2:$C$100,Computations!$A$2:$A$100),n)</f>
        <v>2</v>
      </c>
      <c r="D95">
        <f t="shared" ca="1" si="29"/>
        <v>1.4999999999999999E-2</v>
      </c>
      <c r="E95">
        <f t="shared" ca="1" si="30"/>
        <v>0.03</v>
      </c>
      <c r="F95">
        <f t="shared" ca="1" si="31"/>
        <v>-1.6666666666666774E-3</v>
      </c>
      <c r="G95">
        <f t="shared" ca="1" si="32"/>
        <v>1.1666666666666679E-2</v>
      </c>
      <c r="H95">
        <f t="shared" ca="1" si="33"/>
        <v>0.04</v>
      </c>
      <c r="I95">
        <f t="shared" ca="1" si="34"/>
        <v>0</v>
      </c>
      <c r="J95">
        <f t="shared" ca="1" si="35"/>
        <v>0</v>
      </c>
      <c r="K95">
        <f t="shared" ca="1" si="36"/>
        <v>0</v>
      </c>
      <c r="L95">
        <f t="shared" ca="1" si="37"/>
        <v>0</v>
      </c>
      <c r="M95">
        <f t="shared" ca="1" si="38"/>
        <v>-40.333333333333002</v>
      </c>
      <c r="N95">
        <f t="shared" ca="1" si="39"/>
        <v>-81.407407407406353</v>
      </c>
      <c r="O95">
        <f t="shared" ca="1" si="40"/>
        <v>-773.3333333333162</v>
      </c>
      <c r="P95">
        <f t="shared" ca="1" si="41"/>
        <v>49.296296296295687</v>
      </c>
      <c r="Q95">
        <f t="shared" ca="1" si="42"/>
        <v>3.6666666666666514</v>
      </c>
      <c r="R95">
        <f t="shared" ca="1" si="43"/>
        <v>0.59936328097424707</v>
      </c>
      <c r="S95">
        <f t="shared" ca="1" si="44"/>
        <v>-3.6666666666666514</v>
      </c>
      <c r="T95">
        <f t="shared" ca="1" si="45"/>
        <v>0.98010872128129278</v>
      </c>
      <c r="U95">
        <f t="shared" ca="1" si="46"/>
        <v>0.34374508491765693</v>
      </c>
      <c r="V95">
        <f t="shared" ca="1" si="47"/>
        <v>2.333333333333321</v>
      </c>
      <c r="W95">
        <f t="shared" ca="1" si="48"/>
        <v>9.5207972893961053</v>
      </c>
      <c r="X95">
        <f t="shared" ca="1" si="49"/>
        <v>-2.5207972893961412</v>
      </c>
      <c r="Y95">
        <f t="shared" ca="1" si="50"/>
        <v>0</v>
      </c>
      <c r="Z95" t="e">
        <f t="shared" ca="1" si="51"/>
        <v>#NUM!</v>
      </c>
      <c r="AA95" t="e">
        <f t="shared" ca="1" si="52"/>
        <v>#NUM!</v>
      </c>
      <c r="AB95" t="e">
        <f t="shared" ca="1" si="53"/>
        <v>#NUM!</v>
      </c>
      <c r="AC95" t="e">
        <f t="shared" ca="1" si="54"/>
        <v>#NUM!</v>
      </c>
      <c r="AD95" t="e">
        <f t="shared" ca="1" si="55"/>
        <v>#NUM!</v>
      </c>
      <c r="AE95">
        <f t="shared" ca="1" si="56"/>
        <v>0</v>
      </c>
    </row>
    <row r="96" spans="1:31" x14ac:dyDescent="0.2">
      <c r="A96" s="6"/>
      <c r="B96" s="7" t="str">
        <f t="shared" si="57"/>
        <v/>
      </c>
      <c r="C96">
        <f ca="1">IF(A96&lt;1,LOOKUP(A96,Computations!$C$2:$C$100,Computations!$A$2:$A$100),n)</f>
        <v>2</v>
      </c>
      <c r="D96">
        <f t="shared" ca="1" si="29"/>
        <v>1.4999999999999999E-2</v>
      </c>
      <c r="E96">
        <f t="shared" ca="1" si="30"/>
        <v>0.03</v>
      </c>
      <c r="F96">
        <f t="shared" ca="1" si="31"/>
        <v>-1.6666666666666774E-3</v>
      </c>
      <c r="G96">
        <f t="shared" ca="1" si="32"/>
        <v>1.1666666666666679E-2</v>
      </c>
      <c r="H96">
        <f t="shared" ca="1" si="33"/>
        <v>0.04</v>
      </c>
      <c r="I96">
        <f t="shared" ca="1" si="34"/>
        <v>0</v>
      </c>
      <c r="J96">
        <f t="shared" ca="1" si="35"/>
        <v>0</v>
      </c>
      <c r="K96">
        <f t="shared" ca="1" si="36"/>
        <v>0</v>
      </c>
      <c r="L96">
        <f t="shared" ca="1" si="37"/>
        <v>0</v>
      </c>
      <c r="M96">
        <f t="shared" ca="1" si="38"/>
        <v>-40.333333333333002</v>
      </c>
      <c r="N96">
        <f t="shared" ca="1" si="39"/>
        <v>-81.407407407406353</v>
      </c>
      <c r="O96">
        <f t="shared" ca="1" si="40"/>
        <v>-773.3333333333162</v>
      </c>
      <c r="P96">
        <f t="shared" ca="1" si="41"/>
        <v>49.296296296295687</v>
      </c>
      <c r="Q96">
        <f t="shared" ca="1" si="42"/>
        <v>3.6666666666666514</v>
      </c>
      <c r="R96">
        <f t="shared" ca="1" si="43"/>
        <v>0.59936328097424707</v>
      </c>
      <c r="S96">
        <f t="shared" ca="1" si="44"/>
        <v>-3.6666666666666514</v>
      </c>
      <c r="T96">
        <f t="shared" ca="1" si="45"/>
        <v>0.98010872128129278</v>
      </c>
      <c r="U96">
        <f t="shared" ca="1" si="46"/>
        <v>0.34374508491765693</v>
      </c>
      <c r="V96">
        <f t="shared" ca="1" si="47"/>
        <v>2.333333333333321</v>
      </c>
      <c r="W96">
        <f t="shared" ca="1" si="48"/>
        <v>9.5207972893961053</v>
      </c>
      <c r="X96">
        <f t="shared" ca="1" si="49"/>
        <v>-2.5207972893961412</v>
      </c>
      <c r="Y96">
        <f t="shared" ca="1" si="50"/>
        <v>0</v>
      </c>
      <c r="Z96" t="e">
        <f t="shared" ca="1" si="51"/>
        <v>#NUM!</v>
      </c>
      <c r="AA96" t="e">
        <f t="shared" ca="1" si="52"/>
        <v>#NUM!</v>
      </c>
      <c r="AB96" t="e">
        <f t="shared" ca="1" si="53"/>
        <v>#NUM!</v>
      </c>
      <c r="AC96" t="e">
        <f t="shared" ca="1" si="54"/>
        <v>#NUM!</v>
      </c>
      <c r="AD96" t="e">
        <f t="shared" ca="1" si="55"/>
        <v>#NUM!</v>
      </c>
      <c r="AE96">
        <f t="shared" ca="1" si="56"/>
        <v>0</v>
      </c>
    </row>
    <row r="97" spans="1:31" x14ac:dyDescent="0.2">
      <c r="A97" s="6"/>
      <c r="B97" s="7" t="str">
        <f t="shared" si="57"/>
        <v/>
      </c>
      <c r="C97">
        <f ca="1">IF(A97&lt;1,LOOKUP(A97,Computations!$C$2:$C$100,Computations!$A$2:$A$100),n)</f>
        <v>2</v>
      </c>
      <c r="D97">
        <f t="shared" ca="1" si="29"/>
        <v>1.4999999999999999E-2</v>
      </c>
      <c r="E97">
        <f t="shared" ca="1" si="30"/>
        <v>0.03</v>
      </c>
      <c r="F97">
        <f t="shared" ca="1" si="31"/>
        <v>-1.6666666666666774E-3</v>
      </c>
      <c r="G97">
        <f t="shared" ca="1" si="32"/>
        <v>1.1666666666666679E-2</v>
      </c>
      <c r="H97">
        <f t="shared" ca="1" si="33"/>
        <v>0.04</v>
      </c>
      <c r="I97">
        <f t="shared" ca="1" si="34"/>
        <v>0</v>
      </c>
      <c r="J97">
        <f t="shared" ca="1" si="35"/>
        <v>0</v>
      </c>
      <c r="K97">
        <f t="shared" ca="1" si="36"/>
        <v>0</v>
      </c>
      <c r="L97">
        <f t="shared" ca="1" si="37"/>
        <v>0</v>
      </c>
      <c r="M97">
        <f t="shared" ca="1" si="38"/>
        <v>-40.333333333333002</v>
      </c>
      <c r="N97">
        <f t="shared" ca="1" si="39"/>
        <v>-81.407407407406353</v>
      </c>
      <c r="O97">
        <f t="shared" ca="1" si="40"/>
        <v>-773.3333333333162</v>
      </c>
      <c r="P97">
        <f t="shared" ca="1" si="41"/>
        <v>49.296296296295687</v>
      </c>
      <c r="Q97">
        <f t="shared" ca="1" si="42"/>
        <v>3.6666666666666514</v>
      </c>
      <c r="R97">
        <f t="shared" ca="1" si="43"/>
        <v>0.59936328097424707</v>
      </c>
      <c r="S97">
        <f t="shared" ca="1" si="44"/>
        <v>-3.6666666666666514</v>
      </c>
      <c r="T97">
        <f t="shared" ca="1" si="45"/>
        <v>0.98010872128129278</v>
      </c>
      <c r="U97">
        <f t="shared" ca="1" si="46"/>
        <v>0.34374508491765693</v>
      </c>
      <c r="V97">
        <f t="shared" ca="1" si="47"/>
        <v>2.333333333333321</v>
      </c>
      <c r="W97">
        <f t="shared" ca="1" si="48"/>
        <v>9.5207972893961053</v>
      </c>
      <c r="X97">
        <f t="shared" ca="1" si="49"/>
        <v>-2.5207972893961412</v>
      </c>
      <c r="Y97">
        <f t="shared" ca="1" si="50"/>
        <v>0</v>
      </c>
      <c r="Z97" t="e">
        <f t="shared" ca="1" si="51"/>
        <v>#NUM!</v>
      </c>
      <c r="AA97" t="e">
        <f t="shared" ca="1" si="52"/>
        <v>#NUM!</v>
      </c>
      <c r="AB97" t="e">
        <f t="shared" ca="1" si="53"/>
        <v>#NUM!</v>
      </c>
      <c r="AC97" t="e">
        <f t="shared" ca="1" si="54"/>
        <v>#NUM!</v>
      </c>
      <c r="AD97" t="e">
        <f t="shared" ca="1" si="55"/>
        <v>#NUM!</v>
      </c>
      <c r="AE97">
        <f t="shared" ca="1" si="56"/>
        <v>0</v>
      </c>
    </row>
    <row r="98" spans="1:31" x14ac:dyDescent="0.2">
      <c r="A98" s="6"/>
      <c r="B98" s="7" t="str">
        <f t="shared" si="57"/>
        <v/>
      </c>
      <c r="C98">
        <f ca="1">IF(A98&lt;1,LOOKUP(A98,Computations!$C$2:$C$100,Computations!$A$2:$A$100),n)</f>
        <v>2</v>
      </c>
      <c r="D98">
        <f t="shared" ca="1" si="29"/>
        <v>1.4999999999999999E-2</v>
      </c>
      <c r="E98">
        <f t="shared" ca="1" si="30"/>
        <v>0.03</v>
      </c>
      <c r="F98">
        <f t="shared" ca="1" si="31"/>
        <v>-1.6666666666666774E-3</v>
      </c>
      <c r="G98">
        <f t="shared" ca="1" si="32"/>
        <v>1.1666666666666679E-2</v>
      </c>
      <c r="H98">
        <f t="shared" ca="1" si="33"/>
        <v>0.04</v>
      </c>
      <c r="I98">
        <f t="shared" ca="1" si="34"/>
        <v>0</v>
      </c>
      <c r="J98">
        <f t="shared" ca="1" si="35"/>
        <v>0</v>
      </c>
      <c r="K98">
        <f t="shared" ca="1" si="36"/>
        <v>0</v>
      </c>
      <c r="L98">
        <f t="shared" ca="1" si="37"/>
        <v>0</v>
      </c>
      <c r="M98">
        <f t="shared" ca="1" si="38"/>
        <v>-40.333333333333002</v>
      </c>
      <c r="N98">
        <f t="shared" ca="1" si="39"/>
        <v>-81.407407407406353</v>
      </c>
      <c r="O98">
        <f t="shared" ca="1" si="40"/>
        <v>-773.3333333333162</v>
      </c>
      <c r="P98">
        <f t="shared" ca="1" si="41"/>
        <v>49.296296296295687</v>
      </c>
      <c r="Q98">
        <f t="shared" ca="1" si="42"/>
        <v>3.6666666666666514</v>
      </c>
      <c r="R98">
        <f t="shared" ca="1" si="43"/>
        <v>0.59936328097424707</v>
      </c>
      <c r="S98">
        <f t="shared" ca="1" si="44"/>
        <v>-3.6666666666666514</v>
      </c>
      <c r="T98">
        <f t="shared" ca="1" si="45"/>
        <v>0.98010872128129278</v>
      </c>
      <c r="U98">
        <f t="shared" ca="1" si="46"/>
        <v>0.34374508491765693</v>
      </c>
      <c r="V98">
        <f t="shared" ca="1" si="47"/>
        <v>2.333333333333321</v>
      </c>
      <c r="W98">
        <f t="shared" ca="1" si="48"/>
        <v>9.5207972893961053</v>
      </c>
      <c r="X98">
        <f t="shared" ca="1" si="49"/>
        <v>-2.5207972893961412</v>
      </c>
      <c r="Y98">
        <f t="shared" ca="1" si="50"/>
        <v>0</v>
      </c>
      <c r="Z98" t="e">
        <f t="shared" ca="1" si="51"/>
        <v>#NUM!</v>
      </c>
      <c r="AA98" t="e">
        <f t="shared" ca="1" si="52"/>
        <v>#NUM!</v>
      </c>
      <c r="AB98" t="e">
        <f t="shared" ca="1" si="53"/>
        <v>#NUM!</v>
      </c>
      <c r="AC98" t="e">
        <f t="shared" ca="1" si="54"/>
        <v>#NUM!</v>
      </c>
      <c r="AD98" t="e">
        <f t="shared" ca="1" si="55"/>
        <v>#NUM!</v>
      </c>
      <c r="AE98">
        <f t="shared" ca="1" si="56"/>
        <v>0</v>
      </c>
    </row>
    <row r="99" spans="1:31" x14ac:dyDescent="0.2">
      <c r="A99" s="6"/>
      <c r="B99" s="7" t="str">
        <f t="shared" si="57"/>
        <v/>
      </c>
      <c r="C99">
        <f ca="1">IF(A99&lt;1,LOOKUP(A99,Computations!$C$2:$C$100,Computations!$A$2:$A$100),n)</f>
        <v>2</v>
      </c>
      <c r="D99">
        <f t="shared" ca="1" si="29"/>
        <v>1.4999999999999999E-2</v>
      </c>
      <c r="E99">
        <f t="shared" ca="1" si="30"/>
        <v>0.03</v>
      </c>
      <c r="F99">
        <f t="shared" ca="1" si="31"/>
        <v>-1.6666666666666774E-3</v>
      </c>
      <c r="G99">
        <f t="shared" ca="1" si="32"/>
        <v>1.1666666666666679E-2</v>
      </c>
      <c r="H99">
        <f t="shared" ca="1" si="33"/>
        <v>0.04</v>
      </c>
      <c r="I99">
        <f t="shared" ca="1" si="34"/>
        <v>0</v>
      </c>
      <c r="J99">
        <f t="shared" ca="1" si="35"/>
        <v>0</v>
      </c>
      <c r="K99">
        <f t="shared" ca="1" si="36"/>
        <v>0</v>
      </c>
      <c r="L99">
        <f t="shared" ca="1" si="37"/>
        <v>0</v>
      </c>
      <c r="M99">
        <f t="shared" ca="1" si="38"/>
        <v>-40.333333333333002</v>
      </c>
      <c r="N99">
        <f t="shared" ca="1" si="39"/>
        <v>-81.407407407406353</v>
      </c>
      <c r="O99">
        <f t="shared" ca="1" si="40"/>
        <v>-773.3333333333162</v>
      </c>
      <c r="P99">
        <f t="shared" ca="1" si="41"/>
        <v>49.296296296295687</v>
      </c>
      <c r="Q99">
        <f t="shared" ca="1" si="42"/>
        <v>3.6666666666666514</v>
      </c>
      <c r="R99">
        <f t="shared" ca="1" si="43"/>
        <v>0.59936328097424707</v>
      </c>
      <c r="S99">
        <f t="shared" ca="1" si="44"/>
        <v>-3.6666666666666514</v>
      </c>
      <c r="T99">
        <f t="shared" ca="1" si="45"/>
        <v>0.98010872128129278</v>
      </c>
      <c r="U99">
        <f t="shared" ca="1" si="46"/>
        <v>0.34374508491765693</v>
      </c>
      <c r="V99">
        <f t="shared" ca="1" si="47"/>
        <v>2.333333333333321</v>
      </c>
      <c r="W99">
        <f t="shared" ca="1" si="48"/>
        <v>9.5207972893961053</v>
      </c>
      <c r="X99">
        <f t="shared" ca="1" si="49"/>
        <v>-2.5207972893961412</v>
      </c>
      <c r="Y99">
        <f t="shared" ca="1" si="50"/>
        <v>0</v>
      </c>
      <c r="Z99" t="e">
        <f t="shared" ca="1" si="51"/>
        <v>#NUM!</v>
      </c>
      <c r="AA99" t="e">
        <f t="shared" ca="1" si="52"/>
        <v>#NUM!</v>
      </c>
      <c r="AB99" t="e">
        <f t="shared" ca="1" si="53"/>
        <v>#NUM!</v>
      </c>
      <c r="AC99" t="e">
        <f t="shared" ca="1" si="54"/>
        <v>#NUM!</v>
      </c>
      <c r="AD99" t="e">
        <f t="shared" ca="1" si="55"/>
        <v>#NUM!</v>
      </c>
      <c r="AE99">
        <f t="shared" ca="1" si="56"/>
        <v>0</v>
      </c>
    </row>
    <row r="100" spans="1:31" x14ac:dyDescent="0.2">
      <c r="A100" s="6"/>
      <c r="B100" s="7" t="str">
        <f t="shared" si="57"/>
        <v/>
      </c>
      <c r="C100">
        <f ca="1">IF(A100&lt;1,LOOKUP(A100,Computations!$C$2:$C$100,Computations!$A$2:$A$100),n)</f>
        <v>2</v>
      </c>
      <c r="D100">
        <f t="shared" ca="1" si="29"/>
        <v>1.4999999999999999E-2</v>
      </c>
      <c r="E100">
        <f t="shared" ca="1" si="30"/>
        <v>0.03</v>
      </c>
      <c r="F100">
        <f t="shared" ca="1" si="31"/>
        <v>-1.6666666666666774E-3</v>
      </c>
      <c r="G100">
        <f t="shared" ca="1" si="32"/>
        <v>1.1666666666666679E-2</v>
      </c>
      <c r="H100">
        <f t="shared" ca="1" si="33"/>
        <v>0.04</v>
      </c>
      <c r="I100">
        <f t="shared" ca="1" si="34"/>
        <v>0</v>
      </c>
      <c r="J100">
        <f t="shared" ca="1" si="35"/>
        <v>0</v>
      </c>
      <c r="K100">
        <f t="shared" ca="1" si="36"/>
        <v>0</v>
      </c>
      <c r="L100">
        <f t="shared" ca="1" si="37"/>
        <v>0</v>
      </c>
      <c r="M100">
        <f t="shared" ca="1" si="38"/>
        <v>-40.333333333333002</v>
      </c>
      <c r="N100">
        <f t="shared" ca="1" si="39"/>
        <v>-81.407407407406353</v>
      </c>
      <c r="O100">
        <f t="shared" ca="1" si="40"/>
        <v>-773.3333333333162</v>
      </c>
      <c r="P100">
        <f t="shared" ca="1" si="41"/>
        <v>49.296296296295687</v>
      </c>
      <c r="Q100">
        <f t="shared" ca="1" si="42"/>
        <v>3.6666666666666514</v>
      </c>
      <c r="R100">
        <f t="shared" ca="1" si="43"/>
        <v>0.59936328097424707</v>
      </c>
      <c r="S100">
        <f t="shared" ca="1" si="44"/>
        <v>-3.6666666666666514</v>
      </c>
      <c r="T100">
        <f t="shared" ca="1" si="45"/>
        <v>0.98010872128129278</v>
      </c>
      <c r="U100">
        <f t="shared" ca="1" si="46"/>
        <v>0.34374508491765693</v>
      </c>
      <c r="V100">
        <f t="shared" ca="1" si="47"/>
        <v>2.333333333333321</v>
      </c>
      <c r="W100">
        <f t="shared" ca="1" si="48"/>
        <v>9.5207972893961053</v>
      </c>
      <c r="X100">
        <f t="shared" ca="1" si="49"/>
        <v>-2.5207972893961412</v>
      </c>
      <c r="Y100">
        <f t="shared" ca="1" si="50"/>
        <v>0</v>
      </c>
      <c r="Z100" t="e">
        <f t="shared" ca="1" si="51"/>
        <v>#NUM!</v>
      </c>
      <c r="AA100" t="e">
        <f t="shared" ca="1" si="52"/>
        <v>#NUM!</v>
      </c>
      <c r="AB100" t="e">
        <f t="shared" ca="1" si="53"/>
        <v>#NUM!</v>
      </c>
      <c r="AC100" t="e">
        <f t="shared" ca="1" si="54"/>
        <v>#NUM!</v>
      </c>
      <c r="AD100" t="e">
        <f t="shared" ca="1" si="55"/>
        <v>#NUM!</v>
      </c>
      <c r="AE100">
        <f t="shared" ca="1" si="56"/>
        <v>0</v>
      </c>
    </row>
    <row r="101" spans="1:31" x14ac:dyDescent="0.2">
      <c r="A101" s="6"/>
      <c r="B101" s="7" t="str">
        <f t="shared" si="57"/>
        <v/>
      </c>
      <c r="C101">
        <f ca="1">IF(A101&lt;1,LOOKUP(A101,Computations!$C$2:$C$100,Computations!$A$2:$A$100),n)</f>
        <v>2</v>
      </c>
      <c r="D101">
        <f t="shared" ca="1" si="29"/>
        <v>1.4999999999999999E-2</v>
      </c>
      <c r="E101">
        <f t="shared" ca="1" si="30"/>
        <v>0.03</v>
      </c>
      <c r="F101">
        <f t="shared" ca="1" si="31"/>
        <v>-1.6666666666666774E-3</v>
      </c>
      <c r="G101">
        <f t="shared" ca="1" si="32"/>
        <v>1.1666666666666679E-2</v>
      </c>
      <c r="H101">
        <f t="shared" ca="1" si="33"/>
        <v>0.04</v>
      </c>
      <c r="I101">
        <f t="shared" ca="1" si="34"/>
        <v>0</v>
      </c>
      <c r="J101">
        <f t="shared" ca="1" si="35"/>
        <v>0</v>
      </c>
      <c r="K101">
        <f t="shared" ca="1" si="36"/>
        <v>0</v>
      </c>
      <c r="L101">
        <f t="shared" ca="1" si="37"/>
        <v>0</v>
      </c>
      <c r="M101">
        <f t="shared" ca="1" si="38"/>
        <v>-40.333333333333002</v>
      </c>
      <c r="N101">
        <f t="shared" ca="1" si="39"/>
        <v>-81.407407407406353</v>
      </c>
      <c r="O101">
        <f t="shared" ca="1" si="40"/>
        <v>-773.3333333333162</v>
      </c>
      <c r="P101">
        <f t="shared" ca="1" si="41"/>
        <v>49.296296296295687</v>
      </c>
      <c r="Q101">
        <f t="shared" ca="1" si="42"/>
        <v>3.6666666666666514</v>
      </c>
      <c r="R101">
        <f t="shared" ca="1" si="43"/>
        <v>0.59936328097424707</v>
      </c>
      <c r="S101">
        <f t="shared" ca="1" si="44"/>
        <v>-3.6666666666666514</v>
      </c>
      <c r="T101">
        <f t="shared" ca="1" si="45"/>
        <v>0.98010872128129278</v>
      </c>
      <c r="U101">
        <f t="shared" ca="1" si="46"/>
        <v>0.34374508491765693</v>
      </c>
      <c r="V101">
        <f t="shared" ca="1" si="47"/>
        <v>2.333333333333321</v>
      </c>
      <c r="W101">
        <f t="shared" ca="1" si="48"/>
        <v>9.5207972893961053</v>
      </c>
      <c r="X101">
        <f t="shared" ca="1" si="49"/>
        <v>-2.5207972893961412</v>
      </c>
      <c r="Y101">
        <f t="shared" ca="1" si="50"/>
        <v>0</v>
      </c>
      <c r="Z101" t="e">
        <f t="shared" ca="1" si="51"/>
        <v>#NUM!</v>
      </c>
      <c r="AA101" t="e">
        <f t="shared" ca="1" si="52"/>
        <v>#NUM!</v>
      </c>
      <c r="AB101" t="e">
        <f t="shared" ca="1" si="53"/>
        <v>#NUM!</v>
      </c>
      <c r="AC101" t="e">
        <f t="shared" ca="1" si="54"/>
        <v>#NUM!</v>
      </c>
      <c r="AD101" t="e">
        <f t="shared" ca="1" si="55"/>
        <v>#NUM!</v>
      </c>
      <c r="AE101">
        <f t="shared" ca="1" si="56"/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"/>
  <sheetViews>
    <sheetView workbookViewId="0">
      <selection activeCell="A2" sqref="A2"/>
    </sheetView>
  </sheetViews>
  <sheetFormatPr defaultRowHeight="12.75" x14ac:dyDescent="0.2"/>
  <cols>
    <col min="1" max="1" width="4.140625" customWidth="1"/>
    <col min="2" max="3" width="9.140625" style="3" customWidth="1"/>
    <col min="4" max="19" width="7.28515625" customWidth="1"/>
    <col min="20" max="20" width="19.85546875" customWidth="1"/>
    <col min="21" max="24" width="3.85546875" customWidth="1"/>
  </cols>
  <sheetData>
    <row r="1" spans="1:24" x14ac:dyDescent="0.2">
      <c r="B1" s="3" t="str">
        <f>Spline!A1</f>
        <v>x</v>
      </c>
      <c r="C1" s="3" t="s">
        <v>12</v>
      </c>
      <c r="D1" t="s">
        <v>3</v>
      </c>
      <c r="E1" t="s">
        <v>9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21</v>
      </c>
      <c r="P1" t="s">
        <v>20</v>
      </c>
      <c r="Q1" t="s">
        <v>30</v>
      </c>
      <c r="R1" t="s">
        <v>28</v>
      </c>
      <c r="S1" t="s">
        <v>29</v>
      </c>
      <c r="T1" t="s">
        <v>1</v>
      </c>
      <c r="U1">
        <f ca="1">SUM(Spline!C:C)</f>
        <v>12</v>
      </c>
      <c r="V1">
        <f ca="1">SUM(Spline!D:D)</f>
        <v>12</v>
      </c>
      <c r="W1">
        <f ca="1">U1+1</f>
        <v>13</v>
      </c>
      <c r="X1">
        <f ca="1">V1+1</f>
        <v>13</v>
      </c>
    </row>
    <row r="2" spans="1:24" x14ac:dyDescent="0.2">
      <c r="A2">
        <v>2</v>
      </c>
      <c r="B2" s="3">
        <f t="shared" ref="B2:B33" ca="1" si="0">IF(A2&lt;=$W$1,INDIRECT("Spline!A"&amp;A2),"")</f>
        <v>1.4999999999999999E-2</v>
      </c>
      <c r="C2" s="3">
        <f ca="1">IF(A2&lt;=$W$1,INDIRECT("Spline!B"&amp;A2),"")</f>
        <v>0</v>
      </c>
      <c r="F2">
        <f ca="1">B3-B2</f>
        <v>1.4999999999999999E-2</v>
      </c>
      <c r="G2">
        <f ca="1">C3-C2</f>
        <v>0.05</v>
      </c>
      <c r="H2">
        <f ca="1">G2/F2</f>
        <v>3.3333333333333335</v>
      </c>
      <c r="I2">
        <f ca="1">F2</f>
        <v>1.4999999999999999E-2</v>
      </c>
      <c r="J2">
        <f ca="1">I2+I3</f>
        <v>0.03</v>
      </c>
      <c r="K2">
        <f ca="1">(I2+J2)/(3*J2)</f>
        <v>0.5</v>
      </c>
      <c r="L2">
        <f ca="1">(I3+J2)/(3*J2)</f>
        <v>0.5</v>
      </c>
      <c r="M2">
        <f ca="1">MIN(ABS(H2),ABS(H3))</f>
        <v>3.3333333333333335</v>
      </c>
      <c r="N2">
        <f ca="1">MAX(ABS(H2),ABS(H3))</f>
        <v>4.6666666666666661</v>
      </c>
      <c r="O2">
        <f ca="1">((2*I2+I3)*H2 - I2*H3)/(I2+I3)</f>
        <v>2.666666666666667</v>
      </c>
      <c r="P2">
        <f ca="1">IF(SIGN(O2)&lt;&gt;SIGN(H2),0,IF(AND(SIGN(H2)&lt;&gt;SIGN(H3),ABS(O2)&gt;ABS(3*H2)),3*H2,O2))</f>
        <v>2.666666666666667</v>
      </c>
      <c r="Q2">
        <f ca="1">P2*F2</f>
        <v>0.04</v>
      </c>
      <c r="R2">
        <f ca="1">G2-Q2-S2</f>
        <v>1.1666666666666679E-2</v>
      </c>
      <c r="S2">
        <f ca="1">F2*P3+Q2-2*G2</f>
        <v>-1.6666666666666774E-3</v>
      </c>
    </row>
    <row r="3" spans="1:24" x14ac:dyDescent="0.2">
      <c r="A3">
        <v>3</v>
      </c>
      <c r="B3" s="3">
        <f t="shared" ca="1" si="0"/>
        <v>0.03</v>
      </c>
      <c r="C3" s="3">
        <f ca="1">IF(A3&lt;=$W$1,INDIRECT("Spline!B"&amp;A3),"")</f>
        <v>0.05</v>
      </c>
      <c r="D3" t="b">
        <f ca="1">B3-B2&gt;0</f>
        <v>1</v>
      </c>
      <c r="E3" t="b">
        <f ca="1">C3-C2&gt;=0</f>
        <v>1</v>
      </c>
      <c r="F3">
        <f ca="1">B4-B3</f>
        <v>1.4999999999999999E-2</v>
      </c>
      <c r="G3">
        <f ca="1">C4-C3</f>
        <v>6.9999999999999993E-2</v>
      </c>
      <c r="H3">
        <f ca="1">G3/F3</f>
        <v>4.6666666666666661</v>
      </c>
      <c r="I3">
        <f ca="1">F3</f>
        <v>1.4999999999999999E-2</v>
      </c>
      <c r="J3">
        <f t="shared" ref="J3:J66" ca="1" si="1">I3+I4</f>
        <v>0.03</v>
      </c>
      <c r="K3">
        <f ca="1">(I3+J3)/(3*J3)</f>
        <v>0.5</v>
      </c>
      <c r="L3">
        <f ca="1">(I4+J3)/(3*J3)</f>
        <v>0.5</v>
      </c>
      <c r="M3">
        <f ca="1">MIN(ABS(H3),ABS(H4))</f>
        <v>2</v>
      </c>
      <c r="N3">
        <f ca="1">MAX(ABS(H3),ABS(H4))</f>
        <v>4.6666666666666661</v>
      </c>
      <c r="O3">
        <f ca="1">IF(A3=$W$1,((2*I2+I1)*H2 - I2*H1)/(I2+I1),M2/(K2*H2/N2+L2*H3/N2))</f>
        <v>3.8888888888888888</v>
      </c>
      <c r="P3">
        <f ca="1">IF(A3=$W$1,IF(SIGN(O3)&lt;&gt;SIGN(H2),0,IF(AND(SIGN(H1)&lt;&gt;SIGN(H2),ABS(O3)&gt;ABS(3*H2)),3*H2,O3)),O3)</f>
        <v>3.8888888888888888</v>
      </c>
      <c r="Q3">
        <f ca="1">P3*F3</f>
        <v>5.8333333333333327E-2</v>
      </c>
      <c r="R3">
        <f ca="1">G3-Q3-S3</f>
        <v>5.1333333333333321E-2</v>
      </c>
      <c r="S3">
        <f ca="1">F3*P4+Q3-2*G3</f>
        <v>-3.9666666666666656E-2</v>
      </c>
    </row>
    <row r="4" spans="1:24" x14ac:dyDescent="0.2">
      <c r="A4">
        <v>4</v>
      </c>
      <c r="B4" s="3">
        <f t="shared" ca="1" si="0"/>
        <v>4.4999999999999998E-2</v>
      </c>
      <c r="C4" s="3">
        <f t="shared" ref="C4:C67" ca="1" si="2">IF(A4&lt;=$W$1,INDIRECT("Spline!B"&amp;A4),"")</f>
        <v>0.12</v>
      </c>
      <c r="D4" t="b">
        <f t="shared" ref="D4:D67" ca="1" si="3">B4-B3&gt;0</f>
        <v>1</v>
      </c>
      <c r="E4" t="b">
        <f t="shared" ref="E4:E67" ca="1" si="4">C4-C3&gt;=0</f>
        <v>1</v>
      </c>
      <c r="F4">
        <f t="shared" ref="F4:F67" ca="1" si="5">B5-B4</f>
        <v>1.4999999999999999E-2</v>
      </c>
      <c r="G4">
        <f t="shared" ref="G4:G67" ca="1" si="6">C5-C4</f>
        <v>0.03</v>
      </c>
      <c r="H4">
        <f t="shared" ref="H4:H67" ca="1" si="7">G4/F4</f>
        <v>2</v>
      </c>
      <c r="I4">
        <f t="shared" ref="I4:I67" ca="1" si="8">F4</f>
        <v>1.4999999999999999E-2</v>
      </c>
      <c r="J4">
        <f t="shared" ca="1" si="1"/>
        <v>0.03</v>
      </c>
      <c r="K4">
        <f t="shared" ref="K4:K67" ca="1" si="9">(I4+J4)/(3*J4)</f>
        <v>0.5</v>
      </c>
      <c r="L4">
        <f t="shared" ref="L4:L67" ca="1" si="10">(I5+J4)/(3*J4)</f>
        <v>0.5</v>
      </c>
      <c r="M4">
        <f t="shared" ref="M4:M67" ca="1" si="11">MIN(ABS(H4),ABS(H5))</f>
        <v>2</v>
      </c>
      <c r="N4">
        <f t="shared" ref="N4:N67" ca="1" si="12">MAX(ABS(H4),ABS(H5))</f>
        <v>3.3333333333333344</v>
      </c>
      <c r="O4">
        <f t="shared" ref="O4:O67" ca="1" si="13">IF(A4=$W$1,((2*I3+I2)*H3 - I3*H2)/(I3+I2),M3/(K3*H3/N3+L3*H4/N3))</f>
        <v>2.8</v>
      </c>
      <c r="P4">
        <f ca="1">IF(A4=$W$1,IF(SIGN(O4)&lt;&gt;SIGN(H3),0,IF(AND(SIGN(H2)&lt;&gt;SIGN(H3),ABS(O4)&gt;ABS(3*H3)),3*H3,O4)),O4)</f>
        <v>2.8</v>
      </c>
      <c r="Q4">
        <f t="shared" ref="Q4:Q67" ca="1" si="14">P4*F4</f>
        <v>4.1999999999999996E-2</v>
      </c>
      <c r="R4">
        <f t="shared" ref="R4:R67" ca="1" si="15">G4-Q4-S4</f>
        <v>-3.1499999999999986E-2</v>
      </c>
      <c r="S4">
        <f t="shared" ref="S4:S67" ca="1" si="16">F4*P5+Q4-2*G4</f>
        <v>1.949999999999999E-2</v>
      </c>
    </row>
    <row r="5" spans="1:24" x14ac:dyDescent="0.2">
      <c r="A5">
        <v>5</v>
      </c>
      <c r="B5" s="3">
        <f t="shared" ca="1" si="0"/>
        <v>0.06</v>
      </c>
      <c r="C5" s="3">
        <f t="shared" ca="1" si="2"/>
        <v>0.15</v>
      </c>
      <c r="D5" t="b">
        <f t="shared" ca="1" si="3"/>
        <v>1</v>
      </c>
      <c r="E5" t="b">
        <f t="shared" ca="1" si="4"/>
        <v>1</v>
      </c>
      <c r="F5">
        <f t="shared" ca="1" si="5"/>
        <v>1.4999999999999999E-2</v>
      </c>
      <c r="G5">
        <f t="shared" ca="1" si="6"/>
        <v>5.0000000000000017E-2</v>
      </c>
      <c r="H5">
        <f t="shared" ca="1" si="7"/>
        <v>3.3333333333333344</v>
      </c>
      <c r="I5">
        <f t="shared" ca="1" si="8"/>
        <v>1.4999999999999999E-2</v>
      </c>
      <c r="J5">
        <f t="shared" ca="1" si="1"/>
        <v>0.03</v>
      </c>
      <c r="K5">
        <f t="shared" ca="1" si="9"/>
        <v>0.5</v>
      </c>
      <c r="L5">
        <f t="shared" ca="1" si="10"/>
        <v>0.5</v>
      </c>
      <c r="M5">
        <f t="shared" ca="1" si="11"/>
        <v>3.3333333333333344</v>
      </c>
      <c r="N5">
        <f t="shared" ca="1" si="12"/>
        <v>6.6666666666666652</v>
      </c>
      <c r="O5">
        <f t="shared" ca="1" si="13"/>
        <v>2.5</v>
      </c>
      <c r="P5">
        <f ca="1">IF(A5=$W$1,IF(SIGN(O5)&lt;&gt;SIGN(H4),0,IF(AND(SIGN(H3)&lt;&gt;SIGN(H4),ABS(O5)&gt;ABS(3*H4)),3*H4,O5)),O5)</f>
        <v>2.5</v>
      </c>
      <c r="Q5">
        <f t="shared" ca="1" si="14"/>
        <v>3.7499999999999999E-2</v>
      </c>
      <c r="R5">
        <f t="shared" ca="1" si="15"/>
        <v>8.3333333333333662E-3</v>
      </c>
      <c r="S5">
        <f t="shared" ca="1" si="16"/>
        <v>4.1666666666666519E-3</v>
      </c>
    </row>
    <row r="6" spans="1:24" x14ac:dyDescent="0.2">
      <c r="A6">
        <v>6</v>
      </c>
      <c r="B6" s="3">
        <f t="shared" ca="1" si="0"/>
        <v>7.4999999999999997E-2</v>
      </c>
      <c r="C6" s="3">
        <f t="shared" ca="1" si="2"/>
        <v>0.2</v>
      </c>
      <c r="D6" t="b">
        <f t="shared" ca="1" si="3"/>
        <v>1</v>
      </c>
      <c r="E6" t="b">
        <f t="shared" ca="1" si="4"/>
        <v>1</v>
      </c>
      <c r="F6">
        <f t="shared" ca="1" si="5"/>
        <v>1.4999999999999999E-2</v>
      </c>
      <c r="G6">
        <f t="shared" ca="1" si="6"/>
        <v>9.9999999999999978E-2</v>
      </c>
      <c r="H6">
        <f t="shared" ca="1" si="7"/>
        <v>6.6666666666666652</v>
      </c>
      <c r="I6">
        <f t="shared" ca="1" si="8"/>
        <v>1.4999999999999999E-2</v>
      </c>
      <c r="J6">
        <f t="shared" ca="1" si="1"/>
        <v>0.03</v>
      </c>
      <c r="K6">
        <f t="shared" ca="1" si="9"/>
        <v>0.5</v>
      </c>
      <c r="L6">
        <f t="shared" ca="1" si="10"/>
        <v>0.5</v>
      </c>
      <c r="M6">
        <f t="shared" ca="1" si="11"/>
        <v>6.6666666666666652</v>
      </c>
      <c r="N6">
        <f t="shared" ca="1" si="12"/>
        <v>13.333333333333334</v>
      </c>
      <c r="O6">
        <f t="shared" ca="1" si="13"/>
        <v>4.4444444444444455</v>
      </c>
      <c r="P6">
        <f ca="1">IF(A6=$W$1,IF(SIGN(O6)&lt;&gt;SIGN(H5),0,IF(AND(SIGN(H4)&lt;&gt;SIGN(H5),ABS(O6)&gt;ABS(3*H5)),3*H5,O6)),O6)</f>
        <v>4.4444444444444455</v>
      </c>
      <c r="Q6">
        <f t="shared" ca="1" si="14"/>
        <v>6.666666666666668E-2</v>
      </c>
      <c r="R6">
        <f t="shared" ca="1" si="15"/>
        <v>3.3333333333333298E-2</v>
      </c>
      <c r="S6">
        <f t="shared" ca="1" si="16"/>
        <v>0</v>
      </c>
    </row>
    <row r="7" spans="1:24" x14ac:dyDescent="0.2">
      <c r="A7">
        <v>7</v>
      </c>
      <c r="B7" s="3">
        <f t="shared" ca="1" si="0"/>
        <v>0.09</v>
      </c>
      <c r="C7" s="3">
        <f t="shared" ca="1" si="2"/>
        <v>0.3</v>
      </c>
      <c r="D7" t="b">
        <f t="shared" ca="1" si="3"/>
        <v>1</v>
      </c>
      <c r="E7" t="b">
        <f t="shared" ca="1" si="4"/>
        <v>1</v>
      </c>
      <c r="F7">
        <f t="shared" ca="1" si="5"/>
        <v>1.4999999999999999E-2</v>
      </c>
      <c r="G7">
        <f t="shared" ca="1" si="6"/>
        <v>0.2</v>
      </c>
      <c r="H7">
        <f t="shared" ca="1" si="7"/>
        <v>13.333333333333334</v>
      </c>
      <c r="I7">
        <f t="shared" ca="1" si="8"/>
        <v>1.4999999999999999E-2</v>
      </c>
      <c r="J7">
        <f t="shared" ca="1" si="1"/>
        <v>0.03</v>
      </c>
      <c r="K7">
        <f t="shared" ca="1" si="9"/>
        <v>0.5</v>
      </c>
      <c r="L7">
        <f t="shared" ca="1" si="10"/>
        <v>0.5</v>
      </c>
      <c r="M7">
        <f t="shared" ca="1" si="11"/>
        <v>3.3333333333333366</v>
      </c>
      <c r="N7">
        <f t="shared" ca="1" si="12"/>
        <v>13.333333333333334</v>
      </c>
      <c r="O7">
        <f t="shared" ca="1" si="13"/>
        <v>8.8888888888888875</v>
      </c>
      <c r="P7">
        <f t="shared" ref="P7:P70" ca="1" si="17">IF(A7=$W$1,IF(SIGN(O7)&lt;&gt;SIGN(H6),0,IF(AND(SIGN(H5)&lt;&gt;SIGN(H6),ABS(O7)&gt;ABS(3*H6)),3*H6,O7)),O7)</f>
        <v>8.8888888888888875</v>
      </c>
      <c r="Q7">
        <f t="shared" ca="1" si="14"/>
        <v>0.1333333333333333</v>
      </c>
      <c r="R7">
        <f t="shared" ca="1" si="15"/>
        <v>0.25333333333333335</v>
      </c>
      <c r="S7">
        <f t="shared" ca="1" si="16"/>
        <v>-0.18666666666666665</v>
      </c>
    </row>
    <row r="8" spans="1:24" x14ac:dyDescent="0.2">
      <c r="A8">
        <v>8</v>
      </c>
      <c r="B8" s="3">
        <f t="shared" ca="1" si="0"/>
        <v>0.105</v>
      </c>
      <c r="C8" s="3">
        <f t="shared" ca="1" si="2"/>
        <v>0.5</v>
      </c>
      <c r="D8" t="b">
        <f t="shared" ca="1" si="3"/>
        <v>1</v>
      </c>
      <c r="E8" t="b">
        <f t="shared" ca="1" si="4"/>
        <v>1</v>
      </c>
      <c r="F8">
        <f t="shared" ca="1" si="5"/>
        <v>1.4999999999999999E-2</v>
      </c>
      <c r="G8">
        <f t="shared" ca="1" si="6"/>
        <v>5.0000000000000044E-2</v>
      </c>
      <c r="H8">
        <f t="shared" ca="1" si="7"/>
        <v>3.3333333333333366</v>
      </c>
      <c r="I8">
        <f t="shared" ca="1" si="8"/>
        <v>1.4999999999999999E-2</v>
      </c>
      <c r="J8">
        <f t="shared" ca="1" si="1"/>
        <v>3.0000000000000013E-2</v>
      </c>
      <c r="K8">
        <f t="shared" ca="1" si="9"/>
        <v>0.49999999999999994</v>
      </c>
      <c r="L8">
        <f t="shared" ca="1" si="10"/>
        <v>0.50000000000000011</v>
      </c>
      <c r="M8">
        <f t="shared" ca="1" si="11"/>
        <v>3.3333333333333259</v>
      </c>
      <c r="N8">
        <f t="shared" ca="1" si="12"/>
        <v>3.3333333333333366</v>
      </c>
      <c r="O8">
        <f t="shared" ca="1" si="13"/>
        <v>5.3333333333333375</v>
      </c>
      <c r="P8">
        <f t="shared" ca="1" si="17"/>
        <v>5.3333333333333375</v>
      </c>
      <c r="Q8">
        <f t="shared" ca="1" si="14"/>
        <v>8.0000000000000057E-2</v>
      </c>
      <c r="R8">
        <f t="shared" ca="1" si="15"/>
        <v>-5.9999999999999956E-2</v>
      </c>
      <c r="S8">
        <f t="shared" ca="1" si="16"/>
        <v>2.9999999999999943E-2</v>
      </c>
    </row>
    <row r="9" spans="1:24" x14ac:dyDescent="0.2">
      <c r="A9">
        <v>9</v>
      </c>
      <c r="B9" s="3">
        <f t="shared" ca="1" si="0"/>
        <v>0.12</v>
      </c>
      <c r="C9" s="3">
        <f t="shared" ca="1" si="2"/>
        <v>0.55000000000000004</v>
      </c>
      <c r="D9" t="b">
        <f t="shared" ca="1" si="3"/>
        <v>1</v>
      </c>
      <c r="E9" t="b">
        <f t="shared" ca="1" si="4"/>
        <v>1</v>
      </c>
      <c r="F9">
        <f t="shared" ca="1" si="5"/>
        <v>1.5000000000000013E-2</v>
      </c>
      <c r="G9">
        <f t="shared" ca="1" si="6"/>
        <v>4.9999999999999933E-2</v>
      </c>
      <c r="H9">
        <f t="shared" ca="1" si="7"/>
        <v>3.3333333333333259</v>
      </c>
      <c r="I9">
        <f t="shared" ca="1" si="8"/>
        <v>1.5000000000000013E-2</v>
      </c>
      <c r="J9">
        <f t="shared" ca="1" si="1"/>
        <v>3.0000000000000027E-2</v>
      </c>
      <c r="K9">
        <f t="shared" ca="1" si="9"/>
        <v>0.5</v>
      </c>
      <c r="L9">
        <f t="shared" ca="1" si="10"/>
        <v>0.5</v>
      </c>
      <c r="M9">
        <f t="shared" ca="1" si="11"/>
        <v>3.3333333333333259</v>
      </c>
      <c r="N9">
        <f t="shared" ca="1" si="12"/>
        <v>6.666666666666659</v>
      </c>
      <c r="O9">
        <f t="shared" ca="1" si="13"/>
        <v>3.3333333333333313</v>
      </c>
      <c r="P9">
        <f t="shared" ca="1" si="17"/>
        <v>3.3333333333333313</v>
      </c>
      <c r="Q9">
        <f t="shared" ca="1" si="14"/>
        <v>5.0000000000000017E-2</v>
      </c>
      <c r="R9">
        <f t="shared" ca="1" si="15"/>
        <v>-1.6666666666666829E-2</v>
      </c>
      <c r="S9">
        <f t="shared" ca="1" si="16"/>
        <v>1.6666666666666746E-2</v>
      </c>
    </row>
    <row r="10" spans="1:24" x14ac:dyDescent="0.2">
      <c r="A10">
        <v>10</v>
      </c>
      <c r="B10" s="3">
        <f t="shared" ca="1" si="0"/>
        <v>0.13500000000000001</v>
      </c>
      <c r="C10" s="3">
        <f t="shared" ca="1" si="2"/>
        <v>0.6</v>
      </c>
      <c r="D10" t="b">
        <f t="shared" ca="1" si="3"/>
        <v>1</v>
      </c>
      <c r="E10" t="b">
        <f t="shared" ca="1" si="4"/>
        <v>1</v>
      </c>
      <c r="F10">
        <f t="shared" ca="1" si="5"/>
        <v>1.5000000000000013E-2</v>
      </c>
      <c r="G10">
        <f t="shared" ca="1" si="6"/>
        <v>9.9999999999999978E-2</v>
      </c>
      <c r="H10">
        <f t="shared" ca="1" si="7"/>
        <v>6.666666666666659</v>
      </c>
      <c r="I10">
        <f t="shared" ca="1" si="8"/>
        <v>1.5000000000000013E-2</v>
      </c>
      <c r="J10">
        <f t="shared" ca="1" si="1"/>
        <v>4.4999999999999984E-2</v>
      </c>
      <c r="K10">
        <f t="shared" ca="1" si="9"/>
        <v>0.44444444444444459</v>
      </c>
      <c r="L10">
        <f t="shared" ca="1" si="10"/>
        <v>0.55555555555555547</v>
      </c>
      <c r="M10">
        <f t="shared" ca="1" si="11"/>
        <v>5.0000000000000053</v>
      </c>
      <c r="N10">
        <f t="shared" ca="1" si="12"/>
        <v>6.666666666666659</v>
      </c>
      <c r="O10">
        <f t="shared" ca="1" si="13"/>
        <v>4.4444444444444358</v>
      </c>
      <c r="P10">
        <f t="shared" ca="1" si="17"/>
        <v>4.4444444444444358</v>
      </c>
      <c r="Q10">
        <f t="shared" ca="1" si="14"/>
        <v>6.6666666666666596E-2</v>
      </c>
      <c r="R10">
        <f t="shared" ca="1" si="15"/>
        <v>7.956989247311827E-2</v>
      </c>
      <c r="S10">
        <f t="shared" ca="1" si="16"/>
        <v>-4.6236559139784889E-2</v>
      </c>
    </row>
    <row r="11" spans="1:24" x14ac:dyDescent="0.2">
      <c r="A11">
        <v>11</v>
      </c>
      <c r="B11" s="3">
        <f t="shared" ca="1" si="0"/>
        <v>0.15000000000000002</v>
      </c>
      <c r="C11" s="3">
        <f t="shared" ca="1" si="2"/>
        <v>0.7</v>
      </c>
      <c r="D11" t="b">
        <f t="shared" ca="1" si="3"/>
        <v>1</v>
      </c>
      <c r="E11" t="b">
        <f t="shared" ca="1" si="4"/>
        <v>1</v>
      </c>
      <c r="F11">
        <f t="shared" ca="1" si="5"/>
        <v>2.9999999999999971E-2</v>
      </c>
      <c r="G11">
        <f t="shared" ca="1" si="6"/>
        <v>0.15000000000000002</v>
      </c>
      <c r="H11">
        <f t="shared" ca="1" si="7"/>
        <v>5.0000000000000053</v>
      </c>
      <c r="I11">
        <f t="shared" ca="1" si="8"/>
        <v>2.9999999999999971E-2</v>
      </c>
      <c r="J11">
        <f t="shared" ca="1" si="1"/>
        <v>4.9999999999999989E-2</v>
      </c>
      <c r="K11">
        <f t="shared" ca="1" si="9"/>
        <v>0.53333333333333321</v>
      </c>
      <c r="L11">
        <f t="shared" ca="1" si="10"/>
        <v>0.46666666666666684</v>
      </c>
      <c r="M11">
        <f t="shared" ca="1" si="11"/>
        <v>5.0000000000000053</v>
      </c>
      <c r="N11">
        <f t="shared" ca="1" si="12"/>
        <v>7.4999999999999947</v>
      </c>
      <c r="O11">
        <f t="shared" ca="1" si="13"/>
        <v>5.806451612903226</v>
      </c>
      <c r="P11">
        <f t="shared" ca="1" si="17"/>
        <v>5.806451612903226</v>
      </c>
      <c r="Q11">
        <f t="shared" ca="1" si="14"/>
        <v>0.17419354838709661</v>
      </c>
      <c r="R11">
        <f t="shared" ca="1" si="15"/>
        <v>-8.081952920662544E-2</v>
      </c>
      <c r="S11">
        <f t="shared" ca="1" si="16"/>
        <v>5.6625980819528854E-2</v>
      </c>
    </row>
    <row r="12" spans="1:24" x14ac:dyDescent="0.2">
      <c r="A12">
        <v>12</v>
      </c>
      <c r="B12" s="3">
        <f t="shared" ca="1" si="0"/>
        <v>0.18</v>
      </c>
      <c r="C12" s="3">
        <f t="shared" ca="1" si="2"/>
        <v>0.85</v>
      </c>
      <c r="D12" t="b">
        <f t="shared" ca="1" si="3"/>
        <v>1</v>
      </c>
      <c r="E12" t="b">
        <f t="shared" ca="1" si="4"/>
        <v>1</v>
      </c>
      <c r="F12">
        <f t="shared" ca="1" si="5"/>
        <v>2.0000000000000018E-2</v>
      </c>
      <c r="G12">
        <f t="shared" ca="1" si="6"/>
        <v>0.15000000000000002</v>
      </c>
      <c r="H12">
        <f t="shared" ca="1" si="7"/>
        <v>7.4999999999999947</v>
      </c>
      <c r="I12">
        <f t="shared" ca="1" si="8"/>
        <v>2.0000000000000018E-2</v>
      </c>
      <c r="J12" t="e">
        <f t="shared" ca="1" si="1"/>
        <v>#VALUE!</v>
      </c>
      <c r="K12" t="e">
        <f t="shared" ca="1" si="9"/>
        <v>#VALUE!</v>
      </c>
      <c r="L12" t="e">
        <f t="shared" ca="1" si="10"/>
        <v>#VALUE!</v>
      </c>
      <c r="M12" t="e">
        <f t="shared" ca="1" si="11"/>
        <v>#VALUE!</v>
      </c>
      <c r="N12" t="e">
        <f t="shared" ca="1" si="12"/>
        <v>#VALUE!</v>
      </c>
      <c r="O12">
        <f t="shared" ca="1" si="13"/>
        <v>6.0810810810810825</v>
      </c>
      <c r="P12">
        <f t="shared" ca="1" si="17"/>
        <v>6.0810810810810825</v>
      </c>
      <c r="Q12">
        <f t="shared" ca="1" si="14"/>
        <v>0.12162162162162175</v>
      </c>
      <c r="R12">
        <f t="shared" ca="1" si="15"/>
        <v>3.6756756756756562E-2</v>
      </c>
      <c r="S12">
        <f t="shared" ca="1" si="16"/>
        <v>-8.3783783783782928E-3</v>
      </c>
    </row>
    <row r="13" spans="1:24" x14ac:dyDescent="0.2">
      <c r="A13">
        <v>13</v>
      </c>
      <c r="B13" s="3">
        <f t="shared" ca="1" si="0"/>
        <v>0.2</v>
      </c>
      <c r="C13" s="3">
        <f t="shared" ca="1" si="2"/>
        <v>1</v>
      </c>
      <c r="D13" t="b">
        <f t="shared" ca="1" si="3"/>
        <v>1</v>
      </c>
      <c r="E13" t="b">
        <f t="shared" ca="1" si="4"/>
        <v>1</v>
      </c>
      <c r="F13" t="e">
        <f t="shared" ca="1" si="5"/>
        <v>#VALUE!</v>
      </c>
      <c r="G13" t="e">
        <f t="shared" ca="1" si="6"/>
        <v>#VALUE!</v>
      </c>
      <c r="H13" t="e">
        <f t="shared" ca="1" si="7"/>
        <v>#VALUE!</v>
      </c>
      <c r="I13" t="e">
        <f t="shared" ca="1" si="8"/>
        <v>#VALUE!</v>
      </c>
      <c r="J13" t="e">
        <f t="shared" ca="1" si="1"/>
        <v>#VALUE!</v>
      </c>
      <c r="K13" t="e">
        <f t="shared" ca="1" si="9"/>
        <v>#VALUE!</v>
      </c>
      <c r="L13" t="e">
        <f t="shared" ca="1" si="10"/>
        <v>#VALUE!</v>
      </c>
      <c r="M13" t="e">
        <f t="shared" ca="1" si="11"/>
        <v>#VALUE!</v>
      </c>
      <c r="N13" t="e">
        <f t="shared" ca="1" si="12"/>
        <v>#VALUE!</v>
      </c>
      <c r="O13">
        <f t="shared" ca="1" si="13"/>
        <v>8.4999999999999911</v>
      </c>
      <c r="P13">
        <f t="shared" ca="1" si="17"/>
        <v>8.4999999999999911</v>
      </c>
      <c r="Q13" t="e">
        <f t="shared" ca="1" si="14"/>
        <v>#VALUE!</v>
      </c>
      <c r="R13" t="e">
        <f t="shared" ca="1" si="15"/>
        <v>#VALUE!</v>
      </c>
      <c r="S13" t="e">
        <f t="shared" ca="1" si="16"/>
        <v>#VALUE!</v>
      </c>
    </row>
    <row r="14" spans="1:24" x14ac:dyDescent="0.2">
      <c r="A14">
        <v>14</v>
      </c>
      <c r="B14" s="3" t="str">
        <f t="shared" ca="1" si="0"/>
        <v/>
      </c>
      <c r="C14" s="3" t="str">
        <f t="shared" ca="1" si="2"/>
        <v/>
      </c>
      <c r="D14" t="e">
        <f t="shared" ca="1" si="3"/>
        <v>#VALUE!</v>
      </c>
      <c r="E14" t="e">
        <f t="shared" ca="1" si="4"/>
        <v>#VALUE!</v>
      </c>
      <c r="F14" t="e">
        <f t="shared" ca="1" si="5"/>
        <v>#VALUE!</v>
      </c>
      <c r="G14" t="e">
        <f t="shared" ca="1" si="6"/>
        <v>#VALUE!</v>
      </c>
      <c r="H14" t="e">
        <f t="shared" ca="1" si="7"/>
        <v>#VALUE!</v>
      </c>
      <c r="I14" t="e">
        <f t="shared" ca="1" si="8"/>
        <v>#VALUE!</v>
      </c>
      <c r="J14" t="e">
        <f t="shared" ca="1" si="1"/>
        <v>#VALUE!</v>
      </c>
      <c r="K14" t="e">
        <f t="shared" ca="1" si="9"/>
        <v>#VALUE!</v>
      </c>
      <c r="L14" t="e">
        <f t="shared" ca="1" si="10"/>
        <v>#VALUE!</v>
      </c>
      <c r="M14" t="e">
        <f t="shared" ca="1" si="11"/>
        <v>#VALUE!</v>
      </c>
      <c r="N14" t="e">
        <f t="shared" ca="1" si="12"/>
        <v>#VALUE!</v>
      </c>
      <c r="O14" t="e">
        <f t="shared" ca="1" si="13"/>
        <v>#VALUE!</v>
      </c>
      <c r="P14" t="e">
        <f t="shared" ca="1" si="17"/>
        <v>#VALUE!</v>
      </c>
      <c r="Q14" t="e">
        <f t="shared" ca="1" si="14"/>
        <v>#VALUE!</v>
      </c>
      <c r="R14" t="e">
        <f t="shared" ca="1" si="15"/>
        <v>#VALUE!</v>
      </c>
      <c r="S14" t="e">
        <f t="shared" ca="1" si="16"/>
        <v>#VALUE!</v>
      </c>
    </row>
    <row r="15" spans="1:24" x14ac:dyDescent="0.2">
      <c r="A15">
        <v>15</v>
      </c>
      <c r="B15" s="3" t="str">
        <f t="shared" ca="1" si="0"/>
        <v/>
      </c>
      <c r="C15" s="3" t="str">
        <f t="shared" ca="1" si="2"/>
        <v/>
      </c>
      <c r="D15" t="e">
        <f t="shared" ca="1" si="3"/>
        <v>#VALUE!</v>
      </c>
      <c r="E15" t="e">
        <f t="shared" ca="1" si="4"/>
        <v>#VALUE!</v>
      </c>
      <c r="F15" t="e">
        <f t="shared" ca="1" si="5"/>
        <v>#VALUE!</v>
      </c>
      <c r="G15" t="e">
        <f t="shared" ca="1" si="6"/>
        <v>#VALUE!</v>
      </c>
      <c r="H15" t="e">
        <f t="shared" ca="1" si="7"/>
        <v>#VALUE!</v>
      </c>
      <c r="I15" t="e">
        <f t="shared" ca="1" si="8"/>
        <v>#VALUE!</v>
      </c>
      <c r="J15" t="e">
        <f t="shared" ca="1" si="1"/>
        <v>#VALUE!</v>
      </c>
      <c r="K15" t="e">
        <f t="shared" ca="1" si="9"/>
        <v>#VALUE!</v>
      </c>
      <c r="L15" t="e">
        <f t="shared" ca="1" si="10"/>
        <v>#VALUE!</v>
      </c>
      <c r="M15" t="e">
        <f t="shared" ca="1" si="11"/>
        <v>#VALUE!</v>
      </c>
      <c r="N15" t="e">
        <f t="shared" ca="1" si="12"/>
        <v>#VALUE!</v>
      </c>
      <c r="O15" t="e">
        <f t="shared" ca="1" si="13"/>
        <v>#VALUE!</v>
      </c>
      <c r="P15" t="e">
        <f t="shared" ca="1" si="17"/>
        <v>#VALUE!</v>
      </c>
      <c r="Q15" t="e">
        <f t="shared" ca="1" si="14"/>
        <v>#VALUE!</v>
      </c>
      <c r="R15" t="e">
        <f t="shared" ca="1" si="15"/>
        <v>#VALUE!</v>
      </c>
      <c r="S15" t="e">
        <f t="shared" ca="1" si="16"/>
        <v>#VALUE!</v>
      </c>
    </row>
    <row r="16" spans="1:24" x14ac:dyDescent="0.2">
      <c r="A16">
        <v>16</v>
      </c>
      <c r="B16" s="3" t="str">
        <f t="shared" ca="1" si="0"/>
        <v/>
      </c>
      <c r="C16" s="3" t="str">
        <f t="shared" ca="1" si="2"/>
        <v/>
      </c>
      <c r="D16" t="e">
        <f t="shared" ca="1" si="3"/>
        <v>#VALUE!</v>
      </c>
      <c r="E16" t="e">
        <f t="shared" ca="1" si="4"/>
        <v>#VALUE!</v>
      </c>
      <c r="F16" t="e">
        <f t="shared" ca="1" si="5"/>
        <v>#VALUE!</v>
      </c>
      <c r="G16" t="e">
        <f t="shared" ca="1" si="6"/>
        <v>#VALUE!</v>
      </c>
      <c r="H16" t="e">
        <f t="shared" ca="1" si="7"/>
        <v>#VALUE!</v>
      </c>
      <c r="I16" t="e">
        <f t="shared" ca="1" si="8"/>
        <v>#VALUE!</v>
      </c>
      <c r="J16" t="e">
        <f t="shared" ca="1" si="1"/>
        <v>#VALUE!</v>
      </c>
      <c r="K16" t="e">
        <f t="shared" ca="1" si="9"/>
        <v>#VALUE!</v>
      </c>
      <c r="L16" t="e">
        <f t="shared" ca="1" si="10"/>
        <v>#VALUE!</v>
      </c>
      <c r="M16" t="e">
        <f t="shared" ca="1" si="11"/>
        <v>#VALUE!</v>
      </c>
      <c r="N16" t="e">
        <f t="shared" ca="1" si="12"/>
        <v>#VALUE!</v>
      </c>
      <c r="O16" t="e">
        <f t="shared" ca="1" si="13"/>
        <v>#VALUE!</v>
      </c>
      <c r="P16" t="e">
        <f t="shared" ca="1" si="17"/>
        <v>#VALUE!</v>
      </c>
      <c r="Q16" t="e">
        <f t="shared" ca="1" si="14"/>
        <v>#VALUE!</v>
      </c>
      <c r="R16" t="e">
        <f t="shared" ca="1" si="15"/>
        <v>#VALUE!</v>
      </c>
      <c r="S16" t="e">
        <f t="shared" ca="1" si="16"/>
        <v>#VALUE!</v>
      </c>
    </row>
    <row r="17" spans="1:19" x14ac:dyDescent="0.2">
      <c r="A17">
        <v>17</v>
      </c>
      <c r="B17" s="3" t="str">
        <f t="shared" ca="1" si="0"/>
        <v/>
      </c>
      <c r="C17" s="3" t="str">
        <f t="shared" ca="1" si="2"/>
        <v/>
      </c>
      <c r="D17" t="e">
        <f t="shared" ca="1" si="3"/>
        <v>#VALUE!</v>
      </c>
      <c r="E17" t="e">
        <f t="shared" ca="1" si="4"/>
        <v>#VALUE!</v>
      </c>
      <c r="F17" t="e">
        <f t="shared" ca="1" si="5"/>
        <v>#VALUE!</v>
      </c>
      <c r="G17" t="e">
        <f t="shared" ca="1" si="6"/>
        <v>#VALUE!</v>
      </c>
      <c r="H17" t="e">
        <f t="shared" ca="1" si="7"/>
        <v>#VALUE!</v>
      </c>
      <c r="I17" t="e">
        <f t="shared" ca="1" si="8"/>
        <v>#VALUE!</v>
      </c>
      <c r="J17" t="e">
        <f t="shared" ca="1" si="1"/>
        <v>#VALUE!</v>
      </c>
      <c r="K17" t="e">
        <f t="shared" ca="1" si="9"/>
        <v>#VALUE!</v>
      </c>
      <c r="L17" t="e">
        <f t="shared" ca="1" si="10"/>
        <v>#VALUE!</v>
      </c>
      <c r="M17" t="e">
        <f t="shared" ca="1" si="11"/>
        <v>#VALUE!</v>
      </c>
      <c r="N17" t="e">
        <f t="shared" ca="1" si="12"/>
        <v>#VALUE!</v>
      </c>
      <c r="O17" t="e">
        <f t="shared" ca="1" si="13"/>
        <v>#VALUE!</v>
      </c>
      <c r="P17" t="e">
        <f t="shared" ca="1" si="17"/>
        <v>#VALUE!</v>
      </c>
      <c r="Q17" t="e">
        <f t="shared" ca="1" si="14"/>
        <v>#VALUE!</v>
      </c>
      <c r="R17" t="e">
        <f t="shared" ca="1" si="15"/>
        <v>#VALUE!</v>
      </c>
      <c r="S17" t="e">
        <f t="shared" ca="1" si="16"/>
        <v>#VALUE!</v>
      </c>
    </row>
    <row r="18" spans="1:19" x14ac:dyDescent="0.2">
      <c r="A18">
        <v>18</v>
      </c>
      <c r="B18" s="3" t="str">
        <f t="shared" ca="1" si="0"/>
        <v/>
      </c>
      <c r="C18" s="3" t="str">
        <f t="shared" ca="1" si="2"/>
        <v/>
      </c>
      <c r="D18" t="e">
        <f t="shared" ca="1" si="3"/>
        <v>#VALUE!</v>
      </c>
      <c r="E18" t="e">
        <f t="shared" ca="1" si="4"/>
        <v>#VALUE!</v>
      </c>
      <c r="F18" t="e">
        <f t="shared" ca="1" si="5"/>
        <v>#VALUE!</v>
      </c>
      <c r="G18" t="e">
        <f t="shared" ca="1" si="6"/>
        <v>#VALUE!</v>
      </c>
      <c r="H18" t="e">
        <f t="shared" ca="1" si="7"/>
        <v>#VALUE!</v>
      </c>
      <c r="I18" t="e">
        <f t="shared" ca="1" si="8"/>
        <v>#VALUE!</v>
      </c>
      <c r="J18" t="e">
        <f t="shared" ca="1" si="1"/>
        <v>#VALUE!</v>
      </c>
      <c r="K18" t="e">
        <f t="shared" ca="1" si="9"/>
        <v>#VALUE!</v>
      </c>
      <c r="L18" t="e">
        <f t="shared" ca="1" si="10"/>
        <v>#VALUE!</v>
      </c>
      <c r="M18" t="e">
        <f t="shared" ca="1" si="11"/>
        <v>#VALUE!</v>
      </c>
      <c r="N18" t="e">
        <f t="shared" ca="1" si="12"/>
        <v>#VALUE!</v>
      </c>
      <c r="O18" t="e">
        <f t="shared" ca="1" si="13"/>
        <v>#VALUE!</v>
      </c>
      <c r="P18" t="e">
        <f t="shared" ca="1" si="17"/>
        <v>#VALUE!</v>
      </c>
      <c r="Q18" t="e">
        <f t="shared" ca="1" si="14"/>
        <v>#VALUE!</v>
      </c>
      <c r="R18" t="e">
        <f t="shared" ca="1" si="15"/>
        <v>#VALUE!</v>
      </c>
      <c r="S18" t="e">
        <f t="shared" ca="1" si="16"/>
        <v>#VALUE!</v>
      </c>
    </row>
    <row r="19" spans="1:19" x14ac:dyDescent="0.2">
      <c r="A19">
        <v>19</v>
      </c>
      <c r="B19" s="3" t="str">
        <f t="shared" ca="1" si="0"/>
        <v/>
      </c>
      <c r="C19" s="3" t="str">
        <f t="shared" ca="1" si="2"/>
        <v/>
      </c>
      <c r="D19" t="e">
        <f t="shared" ca="1" si="3"/>
        <v>#VALUE!</v>
      </c>
      <c r="E19" t="e">
        <f t="shared" ca="1" si="4"/>
        <v>#VALUE!</v>
      </c>
      <c r="F19" t="e">
        <f t="shared" ca="1" si="5"/>
        <v>#VALUE!</v>
      </c>
      <c r="G19" t="e">
        <f t="shared" ca="1" si="6"/>
        <v>#VALUE!</v>
      </c>
      <c r="H19" t="e">
        <f t="shared" ca="1" si="7"/>
        <v>#VALUE!</v>
      </c>
      <c r="I19" t="e">
        <f t="shared" ca="1" si="8"/>
        <v>#VALUE!</v>
      </c>
      <c r="J19" t="e">
        <f t="shared" ca="1" si="1"/>
        <v>#VALUE!</v>
      </c>
      <c r="K19" t="e">
        <f t="shared" ca="1" si="9"/>
        <v>#VALUE!</v>
      </c>
      <c r="L19" t="e">
        <f t="shared" ca="1" si="10"/>
        <v>#VALUE!</v>
      </c>
      <c r="M19" t="e">
        <f t="shared" ca="1" si="11"/>
        <v>#VALUE!</v>
      </c>
      <c r="N19" t="e">
        <f t="shared" ca="1" si="12"/>
        <v>#VALUE!</v>
      </c>
      <c r="O19" t="e">
        <f t="shared" ca="1" si="13"/>
        <v>#VALUE!</v>
      </c>
      <c r="P19" t="e">
        <f t="shared" ca="1" si="17"/>
        <v>#VALUE!</v>
      </c>
      <c r="Q19" t="e">
        <f t="shared" ca="1" si="14"/>
        <v>#VALUE!</v>
      </c>
      <c r="R19" t="e">
        <f t="shared" ca="1" si="15"/>
        <v>#VALUE!</v>
      </c>
      <c r="S19" t="e">
        <f t="shared" ca="1" si="16"/>
        <v>#VALUE!</v>
      </c>
    </row>
    <row r="20" spans="1:19" x14ac:dyDescent="0.2">
      <c r="A20">
        <v>20</v>
      </c>
      <c r="B20" s="3" t="str">
        <f t="shared" ca="1" si="0"/>
        <v/>
      </c>
      <c r="C20" s="3" t="str">
        <f t="shared" ca="1" si="2"/>
        <v/>
      </c>
      <c r="D20" t="e">
        <f t="shared" ca="1" si="3"/>
        <v>#VALUE!</v>
      </c>
      <c r="E20" t="e">
        <f t="shared" ca="1" si="4"/>
        <v>#VALUE!</v>
      </c>
      <c r="F20" t="e">
        <f t="shared" ca="1" si="5"/>
        <v>#VALUE!</v>
      </c>
      <c r="G20" t="e">
        <f t="shared" ca="1" si="6"/>
        <v>#VALUE!</v>
      </c>
      <c r="H20" t="e">
        <f t="shared" ca="1" si="7"/>
        <v>#VALUE!</v>
      </c>
      <c r="I20" t="e">
        <f t="shared" ca="1" si="8"/>
        <v>#VALUE!</v>
      </c>
      <c r="J20" t="e">
        <f t="shared" ca="1" si="1"/>
        <v>#VALUE!</v>
      </c>
      <c r="K20" t="e">
        <f t="shared" ca="1" si="9"/>
        <v>#VALUE!</v>
      </c>
      <c r="L20" t="e">
        <f t="shared" ca="1" si="10"/>
        <v>#VALUE!</v>
      </c>
      <c r="M20" t="e">
        <f t="shared" ca="1" si="11"/>
        <v>#VALUE!</v>
      </c>
      <c r="N20" t="e">
        <f t="shared" ca="1" si="12"/>
        <v>#VALUE!</v>
      </c>
      <c r="O20" t="e">
        <f t="shared" ca="1" si="13"/>
        <v>#VALUE!</v>
      </c>
      <c r="P20" t="e">
        <f t="shared" ca="1" si="17"/>
        <v>#VALUE!</v>
      </c>
      <c r="Q20" t="e">
        <f t="shared" ca="1" si="14"/>
        <v>#VALUE!</v>
      </c>
      <c r="R20" t="e">
        <f t="shared" ca="1" si="15"/>
        <v>#VALUE!</v>
      </c>
      <c r="S20" t="e">
        <f t="shared" ca="1" si="16"/>
        <v>#VALUE!</v>
      </c>
    </row>
    <row r="21" spans="1:19" x14ac:dyDescent="0.2">
      <c r="A21">
        <v>21</v>
      </c>
      <c r="B21" s="3" t="str">
        <f t="shared" ca="1" si="0"/>
        <v/>
      </c>
      <c r="C21" s="3" t="str">
        <f t="shared" ca="1" si="2"/>
        <v/>
      </c>
      <c r="D21" t="e">
        <f t="shared" ca="1" si="3"/>
        <v>#VALUE!</v>
      </c>
      <c r="E21" t="e">
        <f t="shared" ca="1" si="4"/>
        <v>#VALUE!</v>
      </c>
      <c r="F21" t="e">
        <f t="shared" ca="1" si="5"/>
        <v>#VALUE!</v>
      </c>
      <c r="G21" t="e">
        <f t="shared" ca="1" si="6"/>
        <v>#VALUE!</v>
      </c>
      <c r="H21" t="e">
        <f t="shared" ca="1" si="7"/>
        <v>#VALUE!</v>
      </c>
      <c r="I21" t="e">
        <f t="shared" ca="1" si="8"/>
        <v>#VALUE!</v>
      </c>
      <c r="J21" t="e">
        <f t="shared" ca="1" si="1"/>
        <v>#VALUE!</v>
      </c>
      <c r="K21" t="e">
        <f t="shared" ca="1" si="9"/>
        <v>#VALUE!</v>
      </c>
      <c r="L21" t="e">
        <f t="shared" ca="1" si="10"/>
        <v>#VALUE!</v>
      </c>
      <c r="M21" t="e">
        <f t="shared" ca="1" si="11"/>
        <v>#VALUE!</v>
      </c>
      <c r="N21" t="e">
        <f t="shared" ca="1" si="12"/>
        <v>#VALUE!</v>
      </c>
      <c r="O21" t="e">
        <f t="shared" ca="1" si="13"/>
        <v>#VALUE!</v>
      </c>
      <c r="P21" t="e">
        <f t="shared" ca="1" si="17"/>
        <v>#VALUE!</v>
      </c>
      <c r="Q21" t="e">
        <f t="shared" ca="1" si="14"/>
        <v>#VALUE!</v>
      </c>
      <c r="R21" t="e">
        <f t="shared" ca="1" si="15"/>
        <v>#VALUE!</v>
      </c>
      <c r="S21" t="e">
        <f t="shared" ca="1" si="16"/>
        <v>#VALUE!</v>
      </c>
    </row>
    <row r="22" spans="1:19" x14ac:dyDescent="0.2">
      <c r="A22">
        <v>22</v>
      </c>
      <c r="B22" s="3" t="str">
        <f t="shared" ca="1" si="0"/>
        <v/>
      </c>
      <c r="C22" s="3" t="str">
        <f t="shared" ca="1" si="2"/>
        <v/>
      </c>
      <c r="D22" t="e">
        <f t="shared" ca="1" si="3"/>
        <v>#VALUE!</v>
      </c>
      <c r="E22" t="e">
        <f t="shared" ca="1" si="4"/>
        <v>#VALUE!</v>
      </c>
      <c r="F22" t="e">
        <f t="shared" ca="1" si="5"/>
        <v>#VALUE!</v>
      </c>
      <c r="G22" t="e">
        <f t="shared" ca="1" si="6"/>
        <v>#VALUE!</v>
      </c>
      <c r="H22" t="e">
        <f t="shared" ca="1" si="7"/>
        <v>#VALUE!</v>
      </c>
      <c r="I22" t="e">
        <f t="shared" ca="1" si="8"/>
        <v>#VALUE!</v>
      </c>
      <c r="J22" t="e">
        <f t="shared" ca="1" si="1"/>
        <v>#VALUE!</v>
      </c>
      <c r="K22" t="e">
        <f t="shared" ca="1" si="9"/>
        <v>#VALUE!</v>
      </c>
      <c r="L22" t="e">
        <f t="shared" ca="1" si="10"/>
        <v>#VALUE!</v>
      </c>
      <c r="M22" t="e">
        <f t="shared" ca="1" si="11"/>
        <v>#VALUE!</v>
      </c>
      <c r="N22" t="e">
        <f t="shared" ca="1" si="12"/>
        <v>#VALUE!</v>
      </c>
      <c r="O22" t="e">
        <f t="shared" ca="1" si="13"/>
        <v>#VALUE!</v>
      </c>
      <c r="P22" t="e">
        <f t="shared" ca="1" si="17"/>
        <v>#VALUE!</v>
      </c>
      <c r="Q22" t="e">
        <f t="shared" ca="1" si="14"/>
        <v>#VALUE!</v>
      </c>
      <c r="R22" t="e">
        <f t="shared" ca="1" si="15"/>
        <v>#VALUE!</v>
      </c>
      <c r="S22" t="e">
        <f t="shared" ca="1" si="16"/>
        <v>#VALUE!</v>
      </c>
    </row>
    <row r="23" spans="1:19" x14ac:dyDescent="0.2">
      <c r="A23">
        <v>23</v>
      </c>
      <c r="B23" s="3" t="str">
        <f t="shared" ca="1" si="0"/>
        <v/>
      </c>
      <c r="C23" s="3" t="str">
        <f t="shared" ca="1" si="2"/>
        <v/>
      </c>
      <c r="D23" t="e">
        <f t="shared" ca="1" si="3"/>
        <v>#VALUE!</v>
      </c>
      <c r="E23" t="e">
        <f t="shared" ca="1" si="4"/>
        <v>#VALUE!</v>
      </c>
      <c r="F23" t="e">
        <f t="shared" ca="1" si="5"/>
        <v>#VALUE!</v>
      </c>
      <c r="G23" t="e">
        <f t="shared" ca="1" si="6"/>
        <v>#VALUE!</v>
      </c>
      <c r="H23" t="e">
        <f t="shared" ca="1" si="7"/>
        <v>#VALUE!</v>
      </c>
      <c r="I23" t="e">
        <f t="shared" ca="1" si="8"/>
        <v>#VALUE!</v>
      </c>
      <c r="J23" t="e">
        <f t="shared" ca="1" si="1"/>
        <v>#VALUE!</v>
      </c>
      <c r="K23" t="e">
        <f t="shared" ca="1" si="9"/>
        <v>#VALUE!</v>
      </c>
      <c r="L23" t="e">
        <f t="shared" ca="1" si="10"/>
        <v>#VALUE!</v>
      </c>
      <c r="M23" t="e">
        <f t="shared" ca="1" si="11"/>
        <v>#VALUE!</v>
      </c>
      <c r="N23" t="e">
        <f t="shared" ca="1" si="12"/>
        <v>#VALUE!</v>
      </c>
      <c r="O23" t="e">
        <f t="shared" ca="1" si="13"/>
        <v>#VALUE!</v>
      </c>
      <c r="P23" t="e">
        <f t="shared" ca="1" si="17"/>
        <v>#VALUE!</v>
      </c>
      <c r="Q23" t="e">
        <f t="shared" ca="1" si="14"/>
        <v>#VALUE!</v>
      </c>
      <c r="R23" t="e">
        <f t="shared" ca="1" si="15"/>
        <v>#VALUE!</v>
      </c>
      <c r="S23" t="e">
        <f t="shared" ca="1" si="16"/>
        <v>#VALUE!</v>
      </c>
    </row>
    <row r="24" spans="1:19" x14ac:dyDescent="0.2">
      <c r="A24">
        <v>24</v>
      </c>
      <c r="B24" s="3" t="str">
        <f t="shared" ca="1" si="0"/>
        <v/>
      </c>
      <c r="C24" s="3" t="str">
        <f t="shared" ca="1" si="2"/>
        <v/>
      </c>
      <c r="D24" t="e">
        <f t="shared" ca="1" si="3"/>
        <v>#VALUE!</v>
      </c>
      <c r="E24" t="e">
        <f t="shared" ca="1" si="4"/>
        <v>#VALUE!</v>
      </c>
      <c r="F24" t="e">
        <f t="shared" ca="1" si="5"/>
        <v>#VALUE!</v>
      </c>
      <c r="G24" t="e">
        <f t="shared" ca="1" si="6"/>
        <v>#VALUE!</v>
      </c>
      <c r="H24" t="e">
        <f t="shared" ca="1" si="7"/>
        <v>#VALUE!</v>
      </c>
      <c r="I24" t="e">
        <f t="shared" ca="1" si="8"/>
        <v>#VALUE!</v>
      </c>
      <c r="J24" t="e">
        <f t="shared" ca="1" si="1"/>
        <v>#VALUE!</v>
      </c>
      <c r="K24" t="e">
        <f t="shared" ca="1" si="9"/>
        <v>#VALUE!</v>
      </c>
      <c r="L24" t="e">
        <f t="shared" ca="1" si="10"/>
        <v>#VALUE!</v>
      </c>
      <c r="M24" t="e">
        <f t="shared" ca="1" si="11"/>
        <v>#VALUE!</v>
      </c>
      <c r="N24" t="e">
        <f t="shared" ca="1" si="12"/>
        <v>#VALUE!</v>
      </c>
      <c r="O24" t="e">
        <f t="shared" ca="1" si="13"/>
        <v>#VALUE!</v>
      </c>
      <c r="P24" t="e">
        <f t="shared" ca="1" si="17"/>
        <v>#VALUE!</v>
      </c>
      <c r="Q24" t="e">
        <f t="shared" ca="1" si="14"/>
        <v>#VALUE!</v>
      </c>
      <c r="R24" t="e">
        <f t="shared" ca="1" si="15"/>
        <v>#VALUE!</v>
      </c>
      <c r="S24" t="e">
        <f t="shared" ca="1" si="16"/>
        <v>#VALUE!</v>
      </c>
    </row>
    <row r="25" spans="1:19" x14ac:dyDescent="0.2">
      <c r="A25">
        <v>25</v>
      </c>
      <c r="B25" s="3" t="str">
        <f t="shared" ca="1" si="0"/>
        <v/>
      </c>
      <c r="C25" s="3" t="str">
        <f t="shared" ca="1" si="2"/>
        <v/>
      </c>
      <c r="D25" t="e">
        <f t="shared" ca="1" si="3"/>
        <v>#VALUE!</v>
      </c>
      <c r="E25" t="e">
        <f t="shared" ca="1" si="4"/>
        <v>#VALUE!</v>
      </c>
      <c r="F25" t="e">
        <f t="shared" ca="1" si="5"/>
        <v>#VALUE!</v>
      </c>
      <c r="G25" t="e">
        <f t="shared" ca="1" si="6"/>
        <v>#VALUE!</v>
      </c>
      <c r="H25" t="e">
        <f t="shared" ca="1" si="7"/>
        <v>#VALUE!</v>
      </c>
      <c r="I25" t="e">
        <f t="shared" ca="1" si="8"/>
        <v>#VALUE!</v>
      </c>
      <c r="J25" t="e">
        <f t="shared" ca="1" si="1"/>
        <v>#VALUE!</v>
      </c>
      <c r="K25" t="e">
        <f t="shared" ca="1" si="9"/>
        <v>#VALUE!</v>
      </c>
      <c r="L25" t="e">
        <f t="shared" ca="1" si="10"/>
        <v>#VALUE!</v>
      </c>
      <c r="M25" t="e">
        <f t="shared" ca="1" si="11"/>
        <v>#VALUE!</v>
      </c>
      <c r="N25" t="e">
        <f t="shared" ca="1" si="12"/>
        <v>#VALUE!</v>
      </c>
      <c r="O25" t="e">
        <f t="shared" ca="1" si="13"/>
        <v>#VALUE!</v>
      </c>
      <c r="P25" t="e">
        <f t="shared" ca="1" si="17"/>
        <v>#VALUE!</v>
      </c>
      <c r="Q25" t="e">
        <f t="shared" ca="1" si="14"/>
        <v>#VALUE!</v>
      </c>
      <c r="R25" t="e">
        <f t="shared" ca="1" si="15"/>
        <v>#VALUE!</v>
      </c>
      <c r="S25" t="e">
        <f t="shared" ca="1" si="16"/>
        <v>#VALUE!</v>
      </c>
    </row>
    <row r="26" spans="1:19" x14ac:dyDescent="0.2">
      <c r="A26">
        <v>26</v>
      </c>
      <c r="B26" s="3" t="str">
        <f t="shared" ca="1" si="0"/>
        <v/>
      </c>
      <c r="C26" s="3" t="str">
        <f t="shared" ca="1" si="2"/>
        <v/>
      </c>
      <c r="D26" t="e">
        <f t="shared" ca="1" si="3"/>
        <v>#VALUE!</v>
      </c>
      <c r="E26" t="e">
        <f t="shared" ca="1" si="4"/>
        <v>#VALUE!</v>
      </c>
      <c r="F26" t="e">
        <f t="shared" ca="1" si="5"/>
        <v>#VALUE!</v>
      </c>
      <c r="G26" t="e">
        <f t="shared" ca="1" si="6"/>
        <v>#VALUE!</v>
      </c>
      <c r="H26" t="e">
        <f t="shared" ca="1" si="7"/>
        <v>#VALUE!</v>
      </c>
      <c r="I26" t="e">
        <f t="shared" ca="1" si="8"/>
        <v>#VALUE!</v>
      </c>
      <c r="J26" t="e">
        <f t="shared" ca="1" si="1"/>
        <v>#VALUE!</v>
      </c>
      <c r="K26" t="e">
        <f t="shared" ca="1" si="9"/>
        <v>#VALUE!</v>
      </c>
      <c r="L26" t="e">
        <f t="shared" ca="1" si="10"/>
        <v>#VALUE!</v>
      </c>
      <c r="M26" t="e">
        <f t="shared" ca="1" si="11"/>
        <v>#VALUE!</v>
      </c>
      <c r="N26" t="e">
        <f t="shared" ca="1" si="12"/>
        <v>#VALUE!</v>
      </c>
      <c r="O26" t="e">
        <f t="shared" ca="1" si="13"/>
        <v>#VALUE!</v>
      </c>
      <c r="P26" t="e">
        <f t="shared" ca="1" si="17"/>
        <v>#VALUE!</v>
      </c>
      <c r="Q26" t="e">
        <f t="shared" ca="1" si="14"/>
        <v>#VALUE!</v>
      </c>
      <c r="R26" t="e">
        <f t="shared" ca="1" si="15"/>
        <v>#VALUE!</v>
      </c>
      <c r="S26" t="e">
        <f t="shared" ca="1" si="16"/>
        <v>#VALUE!</v>
      </c>
    </row>
    <row r="27" spans="1:19" x14ac:dyDescent="0.2">
      <c r="A27">
        <v>27</v>
      </c>
      <c r="B27" s="3" t="str">
        <f t="shared" ca="1" si="0"/>
        <v/>
      </c>
      <c r="C27" s="3" t="str">
        <f t="shared" ca="1" si="2"/>
        <v/>
      </c>
      <c r="D27" t="e">
        <f t="shared" ca="1" si="3"/>
        <v>#VALUE!</v>
      </c>
      <c r="E27" t="e">
        <f t="shared" ca="1" si="4"/>
        <v>#VALUE!</v>
      </c>
      <c r="F27" t="e">
        <f t="shared" ca="1" si="5"/>
        <v>#VALUE!</v>
      </c>
      <c r="G27" t="e">
        <f t="shared" ca="1" si="6"/>
        <v>#VALUE!</v>
      </c>
      <c r="H27" t="e">
        <f t="shared" ca="1" si="7"/>
        <v>#VALUE!</v>
      </c>
      <c r="I27" t="e">
        <f t="shared" ca="1" si="8"/>
        <v>#VALUE!</v>
      </c>
      <c r="J27" t="e">
        <f t="shared" ca="1" si="1"/>
        <v>#VALUE!</v>
      </c>
      <c r="K27" t="e">
        <f t="shared" ca="1" si="9"/>
        <v>#VALUE!</v>
      </c>
      <c r="L27" t="e">
        <f t="shared" ca="1" si="10"/>
        <v>#VALUE!</v>
      </c>
      <c r="M27" t="e">
        <f t="shared" ca="1" si="11"/>
        <v>#VALUE!</v>
      </c>
      <c r="N27" t="e">
        <f t="shared" ca="1" si="12"/>
        <v>#VALUE!</v>
      </c>
      <c r="O27" t="e">
        <f t="shared" ca="1" si="13"/>
        <v>#VALUE!</v>
      </c>
      <c r="P27" t="e">
        <f t="shared" ca="1" si="17"/>
        <v>#VALUE!</v>
      </c>
      <c r="Q27" t="e">
        <f t="shared" ca="1" si="14"/>
        <v>#VALUE!</v>
      </c>
      <c r="R27" t="e">
        <f t="shared" ca="1" si="15"/>
        <v>#VALUE!</v>
      </c>
      <c r="S27" t="e">
        <f t="shared" ca="1" si="16"/>
        <v>#VALUE!</v>
      </c>
    </row>
    <row r="28" spans="1:19" x14ac:dyDescent="0.2">
      <c r="A28">
        <v>28</v>
      </c>
      <c r="B28" s="3" t="str">
        <f t="shared" ca="1" si="0"/>
        <v/>
      </c>
      <c r="C28" s="3" t="str">
        <f t="shared" ca="1" si="2"/>
        <v/>
      </c>
      <c r="D28" t="e">
        <f t="shared" ca="1" si="3"/>
        <v>#VALUE!</v>
      </c>
      <c r="E28" t="e">
        <f t="shared" ca="1" si="4"/>
        <v>#VALUE!</v>
      </c>
      <c r="F28" t="e">
        <f t="shared" ca="1" si="5"/>
        <v>#VALUE!</v>
      </c>
      <c r="G28" t="e">
        <f t="shared" ca="1" si="6"/>
        <v>#VALUE!</v>
      </c>
      <c r="H28" t="e">
        <f t="shared" ca="1" si="7"/>
        <v>#VALUE!</v>
      </c>
      <c r="I28" t="e">
        <f t="shared" ca="1" si="8"/>
        <v>#VALUE!</v>
      </c>
      <c r="J28" t="e">
        <f t="shared" ca="1" si="1"/>
        <v>#VALUE!</v>
      </c>
      <c r="K28" t="e">
        <f t="shared" ca="1" si="9"/>
        <v>#VALUE!</v>
      </c>
      <c r="L28" t="e">
        <f t="shared" ca="1" si="10"/>
        <v>#VALUE!</v>
      </c>
      <c r="M28" t="e">
        <f t="shared" ca="1" si="11"/>
        <v>#VALUE!</v>
      </c>
      <c r="N28" t="e">
        <f t="shared" ca="1" si="12"/>
        <v>#VALUE!</v>
      </c>
      <c r="O28" t="e">
        <f t="shared" ca="1" si="13"/>
        <v>#VALUE!</v>
      </c>
      <c r="P28" t="e">
        <f t="shared" ca="1" si="17"/>
        <v>#VALUE!</v>
      </c>
      <c r="Q28" t="e">
        <f t="shared" ca="1" si="14"/>
        <v>#VALUE!</v>
      </c>
      <c r="R28" t="e">
        <f t="shared" ca="1" si="15"/>
        <v>#VALUE!</v>
      </c>
      <c r="S28" t="e">
        <f t="shared" ca="1" si="16"/>
        <v>#VALUE!</v>
      </c>
    </row>
    <row r="29" spans="1:19" x14ac:dyDescent="0.2">
      <c r="A29">
        <v>29</v>
      </c>
      <c r="B29" s="3" t="str">
        <f t="shared" ca="1" si="0"/>
        <v/>
      </c>
      <c r="C29" s="3" t="str">
        <f t="shared" ca="1" si="2"/>
        <v/>
      </c>
      <c r="D29" t="e">
        <f t="shared" ca="1" si="3"/>
        <v>#VALUE!</v>
      </c>
      <c r="E29" t="e">
        <f t="shared" ca="1" si="4"/>
        <v>#VALUE!</v>
      </c>
      <c r="F29" t="e">
        <f t="shared" ca="1" si="5"/>
        <v>#VALUE!</v>
      </c>
      <c r="G29" t="e">
        <f t="shared" ca="1" si="6"/>
        <v>#VALUE!</v>
      </c>
      <c r="H29" t="e">
        <f t="shared" ca="1" si="7"/>
        <v>#VALUE!</v>
      </c>
      <c r="I29" t="e">
        <f t="shared" ca="1" si="8"/>
        <v>#VALUE!</v>
      </c>
      <c r="J29" t="e">
        <f t="shared" ca="1" si="1"/>
        <v>#VALUE!</v>
      </c>
      <c r="K29" t="e">
        <f t="shared" ca="1" si="9"/>
        <v>#VALUE!</v>
      </c>
      <c r="L29" t="e">
        <f t="shared" ca="1" si="10"/>
        <v>#VALUE!</v>
      </c>
      <c r="M29" t="e">
        <f t="shared" ca="1" si="11"/>
        <v>#VALUE!</v>
      </c>
      <c r="N29" t="e">
        <f t="shared" ca="1" si="12"/>
        <v>#VALUE!</v>
      </c>
      <c r="O29" t="e">
        <f t="shared" ca="1" si="13"/>
        <v>#VALUE!</v>
      </c>
      <c r="P29" t="e">
        <f t="shared" ca="1" si="17"/>
        <v>#VALUE!</v>
      </c>
      <c r="Q29" t="e">
        <f t="shared" ca="1" si="14"/>
        <v>#VALUE!</v>
      </c>
      <c r="R29" t="e">
        <f t="shared" ca="1" si="15"/>
        <v>#VALUE!</v>
      </c>
      <c r="S29" t="e">
        <f t="shared" ca="1" si="16"/>
        <v>#VALUE!</v>
      </c>
    </row>
    <row r="30" spans="1:19" x14ac:dyDescent="0.2">
      <c r="A30">
        <v>30</v>
      </c>
      <c r="B30" s="3" t="str">
        <f t="shared" ca="1" si="0"/>
        <v/>
      </c>
      <c r="C30" s="3" t="str">
        <f t="shared" ca="1" si="2"/>
        <v/>
      </c>
      <c r="D30" t="e">
        <f t="shared" ca="1" si="3"/>
        <v>#VALUE!</v>
      </c>
      <c r="E30" t="e">
        <f t="shared" ca="1" si="4"/>
        <v>#VALUE!</v>
      </c>
      <c r="F30" t="e">
        <f t="shared" ca="1" si="5"/>
        <v>#VALUE!</v>
      </c>
      <c r="G30" t="e">
        <f t="shared" ca="1" si="6"/>
        <v>#VALUE!</v>
      </c>
      <c r="H30" t="e">
        <f t="shared" ca="1" si="7"/>
        <v>#VALUE!</v>
      </c>
      <c r="I30" t="e">
        <f t="shared" ca="1" si="8"/>
        <v>#VALUE!</v>
      </c>
      <c r="J30" t="e">
        <f t="shared" ca="1" si="1"/>
        <v>#VALUE!</v>
      </c>
      <c r="K30" t="e">
        <f t="shared" ca="1" si="9"/>
        <v>#VALUE!</v>
      </c>
      <c r="L30" t="e">
        <f t="shared" ca="1" si="10"/>
        <v>#VALUE!</v>
      </c>
      <c r="M30" t="e">
        <f t="shared" ca="1" si="11"/>
        <v>#VALUE!</v>
      </c>
      <c r="N30" t="e">
        <f t="shared" ca="1" si="12"/>
        <v>#VALUE!</v>
      </c>
      <c r="O30" t="e">
        <f t="shared" ca="1" si="13"/>
        <v>#VALUE!</v>
      </c>
      <c r="P30" t="e">
        <f t="shared" ca="1" si="17"/>
        <v>#VALUE!</v>
      </c>
      <c r="Q30" t="e">
        <f t="shared" ca="1" si="14"/>
        <v>#VALUE!</v>
      </c>
      <c r="R30" t="e">
        <f t="shared" ca="1" si="15"/>
        <v>#VALUE!</v>
      </c>
      <c r="S30" t="e">
        <f t="shared" ca="1" si="16"/>
        <v>#VALUE!</v>
      </c>
    </row>
    <row r="31" spans="1:19" x14ac:dyDescent="0.2">
      <c r="A31">
        <v>31</v>
      </c>
      <c r="B31" s="3" t="str">
        <f t="shared" ca="1" si="0"/>
        <v/>
      </c>
      <c r="C31" s="3" t="str">
        <f t="shared" ca="1" si="2"/>
        <v/>
      </c>
      <c r="D31" t="e">
        <f t="shared" ca="1" si="3"/>
        <v>#VALUE!</v>
      </c>
      <c r="E31" t="e">
        <f t="shared" ca="1" si="4"/>
        <v>#VALUE!</v>
      </c>
      <c r="F31" t="e">
        <f t="shared" ca="1" si="5"/>
        <v>#VALUE!</v>
      </c>
      <c r="G31" t="e">
        <f t="shared" ca="1" si="6"/>
        <v>#VALUE!</v>
      </c>
      <c r="H31" t="e">
        <f t="shared" ca="1" si="7"/>
        <v>#VALUE!</v>
      </c>
      <c r="I31" t="e">
        <f t="shared" ca="1" si="8"/>
        <v>#VALUE!</v>
      </c>
      <c r="J31" t="e">
        <f t="shared" ca="1" si="1"/>
        <v>#VALUE!</v>
      </c>
      <c r="K31" t="e">
        <f t="shared" ca="1" si="9"/>
        <v>#VALUE!</v>
      </c>
      <c r="L31" t="e">
        <f t="shared" ca="1" si="10"/>
        <v>#VALUE!</v>
      </c>
      <c r="M31" t="e">
        <f t="shared" ca="1" si="11"/>
        <v>#VALUE!</v>
      </c>
      <c r="N31" t="e">
        <f t="shared" ca="1" si="12"/>
        <v>#VALUE!</v>
      </c>
      <c r="O31" t="e">
        <f t="shared" ca="1" si="13"/>
        <v>#VALUE!</v>
      </c>
      <c r="P31" t="e">
        <f t="shared" ca="1" si="17"/>
        <v>#VALUE!</v>
      </c>
      <c r="Q31" t="e">
        <f t="shared" ca="1" si="14"/>
        <v>#VALUE!</v>
      </c>
      <c r="R31" t="e">
        <f t="shared" ca="1" si="15"/>
        <v>#VALUE!</v>
      </c>
      <c r="S31" t="e">
        <f t="shared" ca="1" si="16"/>
        <v>#VALUE!</v>
      </c>
    </row>
    <row r="32" spans="1:19" x14ac:dyDescent="0.2">
      <c r="A32">
        <v>32</v>
      </c>
      <c r="B32" s="3" t="str">
        <f t="shared" ca="1" si="0"/>
        <v/>
      </c>
      <c r="C32" s="3" t="str">
        <f t="shared" ca="1" si="2"/>
        <v/>
      </c>
      <c r="D32" t="e">
        <f t="shared" ca="1" si="3"/>
        <v>#VALUE!</v>
      </c>
      <c r="E32" t="e">
        <f t="shared" ca="1" si="4"/>
        <v>#VALUE!</v>
      </c>
      <c r="F32" t="e">
        <f t="shared" ca="1" si="5"/>
        <v>#VALUE!</v>
      </c>
      <c r="G32" t="e">
        <f t="shared" ca="1" si="6"/>
        <v>#VALUE!</v>
      </c>
      <c r="H32" t="e">
        <f t="shared" ca="1" si="7"/>
        <v>#VALUE!</v>
      </c>
      <c r="I32" t="e">
        <f t="shared" ca="1" si="8"/>
        <v>#VALUE!</v>
      </c>
      <c r="J32" t="e">
        <f t="shared" ca="1" si="1"/>
        <v>#VALUE!</v>
      </c>
      <c r="K32" t="e">
        <f t="shared" ca="1" si="9"/>
        <v>#VALUE!</v>
      </c>
      <c r="L32" t="e">
        <f t="shared" ca="1" si="10"/>
        <v>#VALUE!</v>
      </c>
      <c r="M32" t="e">
        <f t="shared" ca="1" si="11"/>
        <v>#VALUE!</v>
      </c>
      <c r="N32" t="e">
        <f t="shared" ca="1" si="12"/>
        <v>#VALUE!</v>
      </c>
      <c r="O32" t="e">
        <f t="shared" ca="1" si="13"/>
        <v>#VALUE!</v>
      </c>
      <c r="P32" t="e">
        <f t="shared" ca="1" si="17"/>
        <v>#VALUE!</v>
      </c>
      <c r="Q32" t="e">
        <f t="shared" ca="1" si="14"/>
        <v>#VALUE!</v>
      </c>
      <c r="R32" t="e">
        <f t="shared" ca="1" si="15"/>
        <v>#VALUE!</v>
      </c>
      <c r="S32" t="e">
        <f t="shared" ca="1" si="16"/>
        <v>#VALUE!</v>
      </c>
    </row>
    <row r="33" spans="1:19" x14ac:dyDescent="0.2">
      <c r="A33">
        <v>33</v>
      </c>
      <c r="B33" s="3" t="str">
        <f t="shared" ca="1" si="0"/>
        <v/>
      </c>
      <c r="C33" s="3" t="str">
        <f t="shared" ca="1" si="2"/>
        <v/>
      </c>
      <c r="D33" t="e">
        <f t="shared" ca="1" si="3"/>
        <v>#VALUE!</v>
      </c>
      <c r="E33" t="e">
        <f t="shared" ca="1" si="4"/>
        <v>#VALUE!</v>
      </c>
      <c r="F33" t="e">
        <f t="shared" ca="1" si="5"/>
        <v>#VALUE!</v>
      </c>
      <c r="G33" t="e">
        <f t="shared" ca="1" si="6"/>
        <v>#VALUE!</v>
      </c>
      <c r="H33" t="e">
        <f t="shared" ca="1" si="7"/>
        <v>#VALUE!</v>
      </c>
      <c r="I33" t="e">
        <f t="shared" ca="1" si="8"/>
        <v>#VALUE!</v>
      </c>
      <c r="J33" t="e">
        <f t="shared" ca="1" si="1"/>
        <v>#VALUE!</v>
      </c>
      <c r="K33" t="e">
        <f t="shared" ca="1" si="9"/>
        <v>#VALUE!</v>
      </c>
      <c r="L33" t="e">
        <f t="shared" ca="1" si="10"/>
        <v>#VALUE!</v>
      </c>
      <c r="M33" t="e">
        <f t="shared" ca="1" si="11"/>
        <v>#VALUE!</v>
      </c>
      <c r="N33" t="e">
        <f t="shared" ca="1" si="12"/>
        <v>#VALUE!</v>
      </c>
      <c r="O33" t="e">
        <f t="shared" ca="1" si="13"/>
        <v>#VALUE!</v>
      </c>
      <c r="P33" t="e">
        <f t="shared" ca="1" si="17"/>
        <v>#VALUE!</v>
      </c>
      <c r="Q33" t="e">
        <f t="shared" ca="1" si="14"/>
        <v>#VALUE!</v>
      </c>
      <c r="R33" t="e">
        <f t="shared" ca="1" si="15"/>
        <v>#VALUE!</v>
      </c>
      <c r="S33" t="e">
        <f t="shared" ca="1" si="16"/>
        <v>#VALUE!</v>
      </c>
    </row>
    <row r="34" spans="1:19" x14ac:dyDescent="0.2">
      <c r="A34">
        <v>34</v>
      </c>
      <c r="B34" s="3" t="str">
        <f t="shared" ref="B34:B65" ca="1" si="18">IF(A34&lt;=$W$1,INDIRECT("Spline!A"&amp;A34),"")</f>
        <v/>
      </c>
      <c r="C34" s="3" t="str">
        <f t="shared" ca="1" si="2"/>
        <v/>
      </c>
      <c r="D34" t="e">
        <f t="shared" ca="1" si="3"/>
        <v>#VALUE!</v>
      </c>
      <c r="E34" t="e">
        <f t="shared" ca="1" si="4"/>
        <v>#VALUE!</v>
      </c>
      <c r="F34" t="e">
        <f t="shared" ca="1" si="5"/>
        <v>#VALUE!</v>
      </c>
      <c r="G34" t="e">
        <f t="shared" ca="1" si="6"/>
        <v>#VALUE!</v>
      </c>
      <c r="H34" t="e">
        <f t="shared" ca="1" si="7"/>
        <v>#VALUE!</v>
      </c>
      <c r="I34" t="e">
        <f t="shared" ca="1" si="8"/>
        <v>#VALUE!</v>
      </c>
      <c r="J34" t="e">
        <f t="shared" ca="1" si="1"/>
        <v>#VALUE!</v>
      </c>
      <c r="K34" t="e">
        <f t="shared" ca="1" si="9"/>
        <v>#VALUE!</v>
      </c>
      <c r="L34" t="e">
        <f t="shared" ca="1" si="10"/>
        <v>#VALUE!</v>
      </c>
      <c r="M34" t="e">
        <f t="shared" ca="1" si="11"/>
        <v>#VALUE!</v>
      </c>
      <c r="N34" t="e">
        <f t="shared" ca="1" si="12"/>
        <v>#VALUE!</v>
      </c>
      <c r="O34" t="e">
        <f t="shared" ca="1" si="13"/>
        <v>#VALUE!</v>
      </c>
      <c r="P34" t="e">
        <f t="shared" ca="1" si="17"/>
        <v>#VALUE!</v>
      </c>
      <c r="Q34" t="e">
        <f t="shared" ca="1" si="14"/>
        <v>#VALUE!</v>
      </c>
      <c r="R34" t="e">
        <f t="shared" ca="1" si="15"/>
        <v>#VALUE!</v>
      </c>
      <c r="S34" t="e">
        <f t="shared" ca="1" si="16"/>
        <v>#VALUE!</v>
      </c>
    </row>
    <row r="35" spans="1:19" x14ac:dyDescent="0.2">
      <c r="A35">
        <v>35</v>
      </c>
      <c r="B35" s="3" t="str">
        <f t="shared" ca="1" si="18"/>
        <v/>
      </c>
      <c r="C35" s="3" t="str">
        <f t="shared" ca="1" si="2"/>
        <v/>
      </c>
      <c r="D35" t="e">
        <f t="shared" ca="1" si="3"/>
        <v>#VALUE!</v>
      </c>
      <c r="E35" t="e">
        <f t="shared" ca="1" si="4"/>
        <v>#VALUE!</v>
      </c>
      <c r="F35" t="e">
        <f t="shared" ca="1" si="5"/>
        <v>#VALUE!</v>
      </c>
      <c r="G35" t="e">
        <f t="shared" ca="1" si="6"/>
        <v>#VALUE!</v>
      </c>
      <c r="H35" t="e">
        <f t="shared" ca="1" si="7"/>
        <v>#VALUE!</v>
      </c>
      <c r="I35" t="e">
        <f t="shared" ca="1" si="8"/>
        <v>#VALUE!</v>
      </c>
      <c r="J35" t="e">
        <f t="shared" ca="1" si="1"/>
        <v>#VALUE!</v>
      </c>
      <c r="K35" t="e">
        <f t="shared" ca="1" si="9"/>
        <v>#VALUE!</v>
      </c>
      <c r="L35" t="e">
        <f t="shared" ca="1" si="10"/>
        <v>#VALUE!</v>
      </c>
      <c r="M35" t="e">
        <f t="shared" ca="1" si="11"/>
        <v>#VALUE!</v>
      </c>
      <c r="N35" t="e">
        <f t="shared" ca="1" si="12"/>
        <v>#VALUE!</v>
      </c>
      <c r="O35" t="e">
        <f t="shared" ca="1" si="13"/>
        <v>#VALUE!</v>
      </c>
      <c r="P35" t="e">
        <f t="shared" ca="1" si="17"/>
        <v>#VALUE!</v>
      </c>
      <c r="Q35" t="e">
        <f t="shared" ca="1" si="14"/>
        <v>#VALUE!</v>
      </c>
      <c r="R35" t="e">
        <f t="shared" ca="1" si="15"/>
        <v>#VALUE!</v>
      </c>
      <c r="S35" t="e">
        <f t="shared" ca="1" si="16"/>
        <v>#VALUE!</v>
      </c>
    </row>
    <row r="36" spans="1:19" x14ac:dyDescent="0.2">
      <c r="A36">
        <v>36</v>
      </c>
      <c r="B36" s="3" t="str">
        <f t="shared" ca="1" si="18"/>
        <v/>
      </c>
      <c r="C36" s="3" t="str">
        <f t="shared" ca="1" si="2"/>
        <v/>
      </c>
      <c r="D36" t="e">
        <f t="shared" ca="1" si="3"/>
        <v>#VALUE!</v>
      </c>
      <c r="E36" t="e">
        <f t="shared" ca="1" si="4"/>
        <v>#VALUE!</v>
      </c>
      <c r="F36" t="e">
        <f t="shared" ca="1" si="5"/>
        <v>#VALUE!</v>
      </c>
      <c r="G36" t="e">
        <f t="shared" ca="1" si="6"/>
        <v>#VALUE!</v>
      </c>
      <c r="H36" t="e">
        <f t="shared" ca="1" si="7"/>
        <v>#VALUE!</v>
      </c>
      <c r="I36" t="e">
        <f t="shared" ca="1" si="8"/>
        <v>#VALUE!</v>
      </c>
      <c r="J36" t="e">
        <f t="shared" ca="1" si="1"/>
        <v>#VALUE!</v>
      </c>
      <c r="K36" t="e">
        <f t="shared" ca="1" si="9"/>
        <v>#VALUE!</v>
      </c>
      <c r="L36" t="e">
        <f t="shared" ca="1" si="10"/>
        <v>#VALUE!</v>
      </c>
      <c r="M36" t="e">
        <f t="shared" ca="1" si="11"/>
        <v>#VALUE!</v>
      </c>
      <c r="N36" t="e">
        <f t="shared" ca="1" si="12"/>
        <v>#VALUE!</v>
      </c>
      <c r="O36" t="e">
        <f t="shared" ca="1" si="13"/>
        <v>#VALUE!</v>
      </c>
      <c r="P36" t="e">
        <f t="shared" ca="1" si="17"/>
        <v>#VALUE!</v>
      </c>
      <c r="Q36" t="e">
        <f t="shared" ca="1" si="14"/>
        <v>#VALUE!</v>
      </c>
      <c r="R36" t="e">
        <f t="shared" ca="1" si="15"/>
        <v>#VALUE!</v>
      </c>
      <c r="S36" t="e">
        <f t="shared" ca="1" si="16"/>
        <v>#VALUE!</v>
      </c>
    </row>
    <row r="37" spans="1:19" x14ac:dyDescent="0.2">
      <c r="A37">
        <v>37</v>
      </c>
      <c r="B37" s="3" t="str">
        <f t="shared" ca="1" si="18"/>
        <v/>
      </c>
      <c r="C37" s="3" t="str">
        <f t="shared" ca="1" si="2"/>
        <v/>
      </c>
      <c r="D37" t="e">
        <f t="shared" ca="1" si="3"/>
        <v>#VALUE!</v>
      </c>
      <c r="E37" t="e">
        <f t="shared" ca="1" si="4"/>
        <v>#VALUE!</v>
      </c>
      <c r="F37" t="e">
        <f t="shared" ca="1" si="5"/>
        <v>#VALUE!</v>
      </c>
      <c r="G37" t="e">
        <f t="shared" ca="1" si="6"/>
        <v>#VALUE!</v>
      </c>
      <c r="H37" t="e">
        <f t="shared" ca="1" si="7"/>
        <v>#VALUE!</v>
      </c>
      <c r="I37" t="e">
        <f t="shared" ca="1" si="8"/>
        <v>#VALUE!</v>
      </c>
      <c r="J37" t="e">
        <f t="shared" ca="1" si="1"/>
        <v>#VALUE!</v>
      </c>
      <c r="K37" t="e">
        <f t="shared" ca="1" si="9"/>
        <v>#VALUE!</v>
      </c>
      <c r="L37" t="e">
        <f t="shared" ca="1" si="10"/>
        <v>#VALUE!</v>
      </c>
      <c r="M37" t="e">
        <f t="shared" ca="1" si="11"/>
        <v>#VALUE!</v>
      </c>
      <c r="N37" t="e">
        <f t="shared" ca="1" si="12"/>
        <v>#VALUE!</v>
      </c>
      <c r="O37" t="e">
        <f t="shared" ca="1" si="13"/>
        <v>#VALUE!</v>
      </c>
      <c r="P37" t="e">
        <f t="shared" ca="1" si="17"/>
        <v>#VALUE!</v>
      </c>
      <c r="Q37" t="e">
        <f t="shared" ca="1" si="14"/>
        <v>#VALUE!</v>
      </c>
      <c r="R37" t="e">
        <f t="shared" ca="1" si="15"/>
        <v>#VALUE!</v>
      </c>
      <c r="S37" t="e">
        <f t="shared" ca="1" si="16"/>
        <v>#VALUE!</v>
      </c>
    </row>
    <row r="38" spans="1:19" x14ac:dyDescent="0.2">
      <c r="A38">
        <v>38</v>
      </c>
      <c r="B38" s="3" t="str">
        <f t="shared" ca="1" si="18"/>
        <v/>
      </c>
      <c r="C38" s="3" t="str">
        <f t="shared" ca="1" si="2"/>
        <v/>
      </c>
      <c r="D38" t="e">
        <f t="shared" ca="1" si="3"/>
        <v>#VALUE!</v>
      </c>
      <c r="E38" t="e">
        <f t="shared" ca="1" si="4"/>
        <v>#VALUE!</v>
      </c>
      <c r="F38" t="e">
        <f t="shared" ca="1" si="5"/>
        <v>#VALUE!</v>
      </c>
      <c r="G38" t="e">
        <f t="shared" ca="1" si="6"/>
        <v>#VALUE!</v>
      </c>
      <c r="H38" t="e">
        <f t="shared" ca="1" si="7"/>
        <v>#VALUE!</v>
      </c>
      <c r="I38" t="e">
        <f t="shared" ca="1" si="8"/>
        <v>#VALUE!</v>
      </c>
      <c r="J38" t="e">
        <f t="shared" ca="1" si="1"/>
        <v>#VALUE!</v>
      </c>
      <c r="K38" t="e">
        <f t="shared" ca="1" si="9"/>
        <v>#VALUE!</v>
      </c>
      <c r="L38" t="e">
        <f t="shared" ca="1" si="10"/>
        <v>#VALUE!</v>
      </c>
      <c r="M38" t="e">
        <f t="shared" ca="1" si="11"/>
        <v>#VALUE!</v>
      </c>
      <c r="N38" t="e">
        <f t="shared" ca="1" si="12"/>
        <v>#VALUE!</v>
      </c>
      <c r="O38" t="e">
        <f t="shared" ca="1" si="13"/>
        <v>#VALUE!</v>
      </c>
      <c r="P38" t="e">
        <f t="shared" ca="1" si="17"/>
        <v>#VALUE!</v>
      </c>
      <c r="Q38" t="e">
        <f t="shared" ca="1" si="14"/>
        <v>#VALUE!</v>
      </c>
      <c r="R38" t="e">
        <f t="shared" ca="1" si="15"/>
        <v>#VALUE!</v>
      </c>
      <c r="S38" t="e">
        <f t="shared" ca="1" si="16"/>
        <v>#VALUE!</v>
      </c>
    </row>
    <row r="39" spans="1:19" x14ac:dyDescent="0.2">
      <c r="A39">
        <v>39</v>
      </c>
      <c r="B39" s="3" t="str">
        <f t="shared" ca="1" si="18"/>
        <v/>
      </c>
      <c r="C39" s="3" t="str">
        <f t="shared" ca="1" si="2"/>
        <v/>
      </c>
      <c r="D39" t="e">
        <f t="shared" ca="1" si="3"/>
        <v>#VALUE!</v>
      </c>
      <c r="E39" t="e">
        <f t="shared" ca="1" si="4"/>
        <v>#VALUE!</v>
      </c>
      <c r="F39" t="e">
        <f t="shared" ca="1" si="5"/>
        <v>#VALUE!</v>
      </c>
      <c r="G39" t="e">
        <f t="shared" ca="1" si="6"/>
        <v>#VALUE!</v>
      </c>
      <c r="H39" t="e">
        <f t="shared" ca="1" si="7"/>
        <v>#VALUE!</v>
      </c>
      <c r="I39" t="e">
        <f t="shared" ca="1" si="8"/>
        <v>#VALUE!</v>
      </c>
      <c r="J39" t="e">
        <f t="shared" ca="1" si="1"/>
        <v>#VALUE!</v>
      </c>
      <c r="K39" t="e">
        <f t="shared" ca="1" si="9"/>
        <v>#VALUE!</v>
      </c>
      <c r="L39" t="e">
        <f t="shared" ca="1" si="10"/>
        <v>#VALUE!</v>
      </c>
      <c r="M39" t="e">
        <f t="shared" ca="1" si="11"/>
        <v>#VALUE!</v>
      </c>
      <c r="N39" t="e">
        <f t="shared" ca="1" si="12"/>
        <v>#VALUE!</v>
      </c>
      <c r="O39" t="e">
        <f t="shared" ca="1" si="13"/>
        <v>#VALUE!</v>
      </c>
      <c r="P39" t="e">
        <f t="shared" ca="1" si="17"/>
        <v>#VALUE!</v>
      </c>
      <c r="Q39" t="e">
        <f t="shared" ca="1" si="14"/>
        <v>#VALUE!</v>
      </c>
      <c r="R39" t="e">
        <f t="shared" ca="1" si="15"/>
        <v>#VALUE!</v>
      </c>
      <c r="S39" t="e">
        <f t="shared" ca="1" si="16"/>
        <v>#VALUE!</v>
      </c>
    </row>
    <row r="40" spans="1:19" x14ac:dyDescent="0.2">
      <c r="A40">
        <v>40</v>
      </c>
      <c r="B40" s="3" t="str">
        <f t="shared" ca="1" si="18"/>
        <v/>
      </c>
      <c r="C40" s="3" t="str">
        <f t="shared" ca="1" si="2"/>
        <v/>
      </c>
      <c r="D40" t="e">
        <f t="shared" ca="1" si="3"/>
        <v>#VALUE!</v>
      </c>
      <c r="E40" t="e">
        <f t="shared" ca="1" si="4"/>
        <v>#VALUE!</v>
      </c>
      <c r="F40" t="e">
        <f t="shared" ca="1" si="5"/>
        <v>#VALUE!</v>
      </c>
      <c r="G40" t="e">
        <f t="shared" ca="1" si="6"/>
        <v>#VALUE!</v>
      </c>
      <c r="H40" t="e">
        <f t="shared" ca="1" si="7"/>
        <v>#VALUE!</v>
      </c>
      <c r="I40" t="e">
        <f t="shared" ca="1" si="8"/>
        <v>#VALUE!</v>
      </c>
      <c r="J40" t="e">
        <f t="shared" ca="1" si="1"/>
        <v>#VALUE!</v>
      </c>
      <c r="K40" t="e">
        <f t="shared" ca="1" si="9"/>
        <v>#VALUE!</v>
      </c>
      <c r="L40" t="e">
        <f t="shared" ca="1" si="10"/>
        <v>#VALUE!</v>
      </c>
      <c r="M40" t="e">
        <f t="shared" ca="1" si="11"/>
        <v>#VALUE!</v>
      </c>
      <c r="N40" t="e">
        <f t="shared" ca="1" si="12"/>
        <v>#VALUE!</v>
      </c>
      <c r="O40" t="e">
        <f t="shared" ca="1" si="13"/>
        <v>#VALUE!</v>
      </c>
      <c r="P40" t="e">
        <f t="shared" ca="1" si="17"/>
        <v>#VALUE!</v>
      </c>
      <c r="Q40" t="e">
        <f t="shared" ca="1" si="14"/>
        <v>#VALUE!</v>
      </c>
      <c r="R40" t="e">
        <f t="shared" ca="1" si="15"/>
        <v>#VALUE!</v>
      </c>
      <c r="S40" t="e">
        <f t="shared" ca="1" si="16"/>
        <v>#VALUE!</v>
      </c>
    </row>
    <row r="41" spans="1:19" x14ac:dyDescent="0.2">
      <c r="A41">
        <v>41</v>
      </c>
      <c r="B41" s="3" t="str">
        <f t="shared" ca="1" si="18"/>
        <v/>
      </c>
      <c r="C41" s="3" t="str">
        <f t="shared" ca="1" si="2"/>
        <v/>
      </c>
      <c r="D41" t="e">
        <f t="shared" ca="1" si="3"/>
        <v>#VALUE!</v>
      </c>
      <c r="E41" t="e">
        <f t="shared" ca="1" si="4"/>
        <v>#VALUE!</v>
      </c>
      <c r="F41" t="e">
        <f t="shared" ca="1" si="5"/>
        <v>#VALUE!</v>
      </c>
      <c r="G41" t="e">
        <f t="shared" ca="1" si="6"/>
        <v>#VALUE!</v>
      </c>
      <c r="H41" t="e">
        <f t="shared" ca="1" si="7"/>
        <v>#VALUE!</v>
      </c>
      <c r="I41" t="e">
        <f t="shared" ca="1" si="8"/>
        <v>#VALUE!</v>
      </c>
      <c r="J41" t="e">
        <f t="shared" ca="1" si="1"/>
        <v>#VALUE!</v>
      </c>
      <c r="K41" t="e">
        <f t="shared" ca="1" si="9"/>
        <v>#VALUE!</v>
      </c>
      <c r="L41" t="e">
        <f t="shared" ca="1" si="10"/>
        <v>#VALUE!</v>
      </c>
      <c r="M41" t="e">
        <f t="shared" ca="1" si="11"/>
        <v>#VALUE!</v>
      </c>
      <c r="N41" t="e">
        <f t="shared" ca="1" si="12"/>
        <v>#VALUE!</v>
      </c>
      <c r="O41" t="e">
        <f t="shared" ca="1" si="13"/>
        <v>#VALUE!</v>
      </c>
      <c r="P41" t="e">
        <f t="shared" ca="1" si="17"/>
        <v>#VALUE!</v>
      </c>
      <c r="Q41" t="e">
        <f t="shared" ca="1" si="14"/>
        <v>#VALUE!</v>
      </c>
      <c r="R41" t="e">
        <f t="shared" ca="1" si="15"/>
        <v>#VALUE!</v>
      </c>
      <c r="S41" t="e">
        <f t="shared" ca="1" si="16"/>
        <v>#VALUE!</v>
      </c>
    </row>
    <row r="42" spans="1:19" x14ac:dyDescent="0.2">
      <c r="A42">
        <v>42</v>
      </c>
      <c r="B42" s="3" t="str">
        <f t="shared" ca="1" si="18"/>
        <v/>
      </c>
      <c r="C42" s="3" t="str">
        <f t="shared" ca="1" si="2"/>
        <v/>
      </c>
      <c r="D42" t="e">
        <f t="shared" ca="1" si="3"/>
        <v>#VALUE!</v>
      </c>
      <c r="E42" t="e">
        <f t="shared" ca="1" si="4"/>
        <v>#VALUE!</v>
      </c>
      <c r="F42" t="e">
        <f t="shared" ca="1" si="5"/>
        <v>#VALUE!</v>
      </c>
      <c r="G42" t="e">
        <f t="shared" ca="1" si="6"/>
        <v>#VALUE!</v>
      </c>
      <c r="H42" t="e">
        <f t="shared" ca="1" si="7"/>
        <v>#VALUE!</v>
      </c>
      <c r="I42" t="e">
        <f t="shared" ca="1" si="8"/>
        <v>#VALUE!</v>
      </c>
      <c r="J42" t="e">
        <f t="shared" ca="1" si="1"/>
        <v>#VALUE!</v>
      </c>
      <c r="K42" t="e">
        <f t="shared" ca="1" si="9"/>
        <v>#VALUE!</v>
      </c>
      <c r="L42" t="e">
        <f t="shared" ca="1" si="10"/>
        <v>#VALUE!</v>
      </c>
      <c r="M42" t="e">
        <f t="shared" ca="1" si="11"/>
        <v>#VALUE!</v>
      </c>
      <c r="N42" t="e">
        <f t="shared" ca="1" si="12"/>
        <v>#VALUE!</v>
      </c>
      <c r="O42" t="e">
        <f t="shared" ca="1" si="13"/>
        <v>#VALUE!</v>
      </c>
      <c r="P42" t="e">
        <f t="shared" ca="1" si="17"/>
        <v>#VALUE!</v>
      </c>
      <c r="Q42" t="e">
        <f t="shared" ca="1" si="14"/>
        <v>#VALUE!</v>
      </c>
      <c r="R42" t="e">
        <f t="shared" ca="1" si="15"/>
        <v>#VALUE!</v>
      </c>
      <c r="S42" t="e">
        <f t="shared" ca="1" si="16"/>
        <v>#VALUE!</v>
      </c>
    </row>
    <row r="43" spans="1:19" x14ac:dyDescent="0.2">
      <c r="A43">
        <v>43</v>
      </c>
      <c r="B43" s="3" t="str">
        <f t="shared" ca="1" si="18"/>
        <v/>
      </c>
      <c r="C43" s="3" t="str">
        <f t="shared" ca="1" si="2"/>
        <v/>
      </c>
      <c r="D43" t="e">
        <f t="shared" ca="1" si="3"/>
        <v>#VALUE!</v>
      </c>
      <c r="E43" t="e">
        <f t="shared" ca="1" si="4"/>
        <v>#VALUE!</v>
      </c>
      <c r="F43" t="e">
        <f t="shared" ca="1" si="5"/>
        <v>#VALUE!</v>
      </c>
      <c r="G43" t="e">
        <f t="shared" ca="1" si="6"/>
        <v>#VALUE!</v>
      </c>
      <c r="H43" t="e">
        <f t="shared" ca="1" si="7"/>
        <v>#VALUE!</v>
      </c>
      <c r="I43" t="e">
        <f t="shared" ca="1" si="8"/>
        <v>#VALUE!</v>
      </c>
      <c r="J43" t="e">
        <f t="shared" ca="1" si="1"/>
        <v>#VALUE!</v>
      </c>
      <c r="K43" t="e">
        <f t="shared" ca="1" si="9"/>
        <v>#VALUE!</v>
      </c>
      <c r="L43" t="e">
        <f t="shared" ca="1" si="10"/>
        <v>#VALUE!</v>
      </c>
      <c r="M43" t="e">
        <f t="shared" ca="1" si="11"/>
        <v>#VALUE!</v>
      </c>
      <c r="N43" t="e">
        <f t="shared" ca="1" si="12"/>
        <v>#VALUE!</v>
      </c>
      <c r="O43" t="e">
        <f t="shared" ca="1" si="13"/>
        <v>#VALUE!</v>
      </c>
      <c r="P43" t="e">
        <f t="shared" ca="1" si="17"/>
        <v>#VALUE!</v>
      </c>
      <c r="Q43" t="e">
        <f t="shared" ca="1" si="14"/>
        <v>#VALUE!</v>
      </c>
      <c r="R43" t="e">
        <f t="shared" ca="1" si="15"/>
        <v>#VALUE!</v>
      </c>
      <c r="S43" t="e">
        <f t="shared" ca="1" si="16"/>
        <v>#VALUE!</v>
      </c>
    </row>
    <row r="44" spans="1:19" x14ac:dyDescent="0.2">
      <c r="A44">
        <v>44</v>
      </c>
      <c r="B44" s="3" t="str">
        <f t="shared" ca="1" si="18"/>
        <v/>
      </c>
      <c r="C44" s="3" t="str">
        <f t="shared" ca="1" si="2"/>
        <v/>
      </c>
      <c r="D44" t="e">
        <f t="shared" ca="1" si="3"/>
        <v>#VALUE!</v>
      </c>
      <c r="E44" t="e">
        <f t="shared" ca="1" si="4"/>
        <v>#VALUE!</v>
      </c>
      <c r="F44" t="e">
        <f t="shared" ca="1" si="5"/>
        <v>#VALUE!</v>
      </c>
      <c r="G44" t="e">
        <f t="shared" ca="1" si="6"/>
        <v>#VALUE!</v>
      </c>
      <c r="H44" t="e">
        <f t="shared" ca="1" si="7"/>
        <v>#VALUE!</v>
      </c>
      <c r="I44" t="e">
        <f t="shared" ca="1" si="8"/>
        <v>#VALUE!</v>
      </c>
      <c r="J44" t="e">
        <f t="shared" ca="1" si="1"/>
        <v>#VALUE!</v>
      </c>
      <c r="K44" t="e">
        <f t="shared" ca="1" si="9"/>
        <v>#VALUE!</v>
      </c>
      <c r="L44" t="e">
        <f t="shared" ca="1" si="10"/>
        <v>#VALUE!</v>
      </c>
      <c r="M44" t="e">
        <f t="shared" ca="1" si="11"/>
        <v>#VALUE!</v>
      </c>
      <c r="N44" t="e">
        <f t="shared" ca="1" si="12"/>
        <v>#VALUE!</v>
      </c>
      <c r="O44" t="e">
        <f t="shared" ca="1" si="13"/>
        <v>#VALUE!</v>
      </c>
      <c r="P44" t="e">
        <f t="shared" ca="1" si="17"/>
        <v>#VALUE!</v>
      </c>
      <c r="Q44" t="e">
        <f t="shared" ca="1" si="14"/>
        <v>#VALUE!</v>
      </c>
      <c r="R44" t="e">
        <f t="shared" ca="1" si="15"/>
        <v>#VALUE!</v>
      </c>
      <c r="S44" t="e">
        <f t="shared" ca="1" si="16"/>
        <v>#VALUE!</v>
      </c>
    </row>
    <row r="45" spans="1:19" x14ac:dyDescent="0.2">
      <c r="A45">
        <v>45</v>
      </c>
      <c r="B45" s="3" t="str">
        <f t="shared" ca="1" si="18"/>
        <v/>
      </c>
      <c r="C45" s="3" t="str">
        <f t="shared" ca="1" si="2"/>
        <v/>
      </c>
      <c r="D45" t="e">
        <f t="shared" ca="1" si="3"/>
        <v>#VALUE!</v>
      </c>
      <c r="E45" t="e">
        <f t="shared" ca="1" si="4"/>
        <v>#VALUE!</v>
      </c>
      <c r="F45" t="e">
        <f t="shared" ca="1" si="5"/>
        <v>#VALUE!</v>
      </c>
      <c r="G45" t="e">
        <f t="shared" ca="1" si="6"/>
        <v>#VALUE!</v>
      </c>
      <c r="H45" t="e">
        <f t="shared" ca="1" si="7"/>
        <v>#VALUE!</v>
      </c>
      <c r="I45" t="e">
        <f t="shared" ca="1" si="8"/>
        <v>#VALUE!</v>
      </c>
      <c r="J45" t="e">
        <f t="shared" ca="1" si="1"/>
        <v>#VALUE!</v>
      </c>
      <c r="K45" t="e">
        <f t="shared" ca="1" si="9"/>
        <v>#VALUE!</v>
      </c>
      <c r="L45" t="e">
        <f t="shared" ca="1" si="10"/>
        <v>#VALUE!</v>
      </c>
      <c r="M45" t="e">
        <f t="shared" ca="1" si="11"/>
        <v>#VALUE!</v>
      </c>
      <c r="N45" t="e">
        <f t="shared" ca="1" si="12"/>
        <v>#VALUE!</v>
      </c>
      <c r="O45" t="e">
        <f t="shared" ca="1" si="13"/>
        <v>#VALUE!</v>
      </c>
      <c r="P45" t="e">
        <f t="shared" ca="1" si="17"/>
        <v>#VALUE!</v>
      </c>
      <c r="Q45" t="e">
        <f t="shared" ca="1" si="14"/>
        <v>#VALUE!</v>
      </c>
      <c r="R45" t="e">
        <f t="shared" ca="1" si="15"/>
        <v>#VALUE!</v>
      </c>
      <c r="S45" t="e">
        <f t="shared" ca="1" si="16"/>
        <v>#VALUE!</v>
      </c>
    </row>
    <row r="46" spans="1:19" x14ac:dyDescent="0.2">
      <c r="A46">
        <v>46</v>
      </c>
      <c r="B46" s="3" t="str">
        <f t="shared" ca="1" si="18"/>
        <v/>
      </c>
      <c r="C46" s="3" t="str">
        <f t="shared" ca="1" si="2"/>
        <v/>
      </c>
      <c r="D46" t="e">
        <f t="shared" ca="1" si="3"/>
        <v>#VALUE!</v>
      </c>
      <c r="E46" t="e">
        <f t="shared" ca="1" si="4"/>
        <v>#VALUE!</v>
      </c>
      <c r="F46" t="e">
        <f t="shared" ca="1" si="5"/>
        <v>#VALUE!</v>
      </c>
      <c r="G46" t="e">
        <f t="shared" ca="1" si="6"/>
        <v>#VALUE!</v>
      </c>
      <c r="H46" t="e">
        <f t="shared" ca="1" si="7"/>
        <v>#VALUE!</v>
      </c>
      <c r="I46" t="e">
        <f t="shared" ca="1" si="8"/>
        <v>#VALUE!</v>
      </c>
      <c r="J46" t="e">
        <f t="shared" ca="1" si="1"/>
        <v>#VALUE!</v>
      </c>
      <c r="K46" t="e">
        <f t="shared" ca="1" si="9"/>
        <v>#VALUE!</v>
      </c>
      <c r="L46" t="e">
        <f t="shared" ca="1" si="10"/>
        <v>#VALUE!</v>
      </c>
      <c r="M46" t="e">
        <f t="shared" ca="1" si="11"/>
        <v>#VALUE!</v>
      </c>
      <c r="N46" t="e">
        <f t="shared" ca="1" si="12"/>
        <v>#VALUE!</v>
      </c>
      <c r="O46" t="e">
        <f t="shared" ca="1" si="13"/>
        <v>#VALUE!</v>
      </c>
      <c r="P46" t="e">
        <f t="shared" ca="1" si="17"/>
        <v>#VALUE!</v>
      </c>
      <c r="Q46" t="e">
        <f t="shared" ca="1" si="14"/>
        <v>#VALUE!</v>
      </c>
      <c r="R46" t="e">
        <f t="shared" ca="1" si="15"/>
        <v>#VALUE!</v>
      </c>
      <c r="S46" t="e">
        <f t="shared" ca="1" si="16"/>
        <v>#VALUE!</v>
      </c>
    </row>
    <row r="47" spans="1:19" x14ac:dyDescent="0.2">
      <c r="A47">
        <v>47</v>
      </c>
      <c r="B47" s="3" t="str">
        <f t="shared" ca="1" si="18"/>
        <v/>
      </c>
      <c r="C47" s="3" t="str">
        <f t="shared" ca="1" si="2"/>
        <v/>
      </c>
      <c r="D47" t="e">
        <f t="shared" ca="1" si="3"/>
        <v>#VALUE!</v>
      </c>
      <c r="E47" t="e">
        <f t="shared" ca="1" si="4"/>
        <v>#VALUE!</v>
      </c>
      <c r="F47" t="e">
        <f t="shared" ca="1" si="5"/>
        <v>#VALUE!</v>
      </c>
      <c r="G47" t="e">
        <f t="shared" ca="1" si="6"/>
        <v>#VALUE!</v>
      </c>
      <c r="H47" t="e">
        <f t="shared" ca="1" si="7"/>
        <v>#VALUE!</v>
      </c>
      <c r="I47" t="e">
        <f t="shared" ca="1" si="8"/>
        <v>#VALUE!</v>
      </c>
      <c r="J47" t="e">
        <f t="shared" ca="1" si="1"/>
        <v>#VALUE!</v>
      </c>
      <c r="K47" t="e">
        <f t="shared" ca="1" si="9"/>
        <v>#VALUE!</v>
      </c>
      <c r="L47" t="e">
        <f t="shared" ca="1" si="10"/>
        <v>#VALUE!</v>
      </c>
      <c r="M47" t="e">
        <f t="shared" ca="1" si="11"/>
        <v>#VALUE!</v>
      </c>
      <c r="N47" t="e">
        <f t="shared" ca="1" si="12"/>
        <v>#VALUE!</v>
      </c>
      <c r="O47" t="e">
        <f t="shared" ca="1" si="13"/>
        <v>#VALUE!</v>
      </c>
      <c r="P47" t="e">
        <f t="shared" ca="1" si="17"/>
        <v>#VALUE!</v>
      </c>
      <c r="Q47" t="e">
        <f t="shared" ca="1" si="14"/>
        <v>#VALUE!</v>
      </c>
      <c r="R47" t="e">
        <f t="shared" ca="1" si="15"/>
        <v>#VALUE!</v>
      </c>
      <c r="S47" t="e">
        <f t="shared" ca="1" si="16"/>
        <v>#VALUE!</v>
      </c>
    </row>
    <row r="48" spans="1:19" x14ac:dyDescent="0.2">
      <c r="A48">
        <v>48</v>
      </c>
      <c r="B48" s="3" t="str">
        <f t="shared" ca="1" si="18"/>
        <v/>
      </c>
      <c r="C48" s="3" t="str">
        <f t="shared" ca="1" si="2"/>
        <v/>
      </c>
      <c r="D48" t="e">
        <f t="shared" ca="1" si="3"/>
        <v>#VALUE!</v>
      </c>
      <c r="E48" t="e">
        <f t="shared" ca="1" si="4"/>
        <v>#VALUE!</v>
      </c>
      <c r="F48" t="e">
        <f t="shared" ca="1" si="5"/>
        <v>#VALUE!</v>
      </c>
      <c r="G48" t="e">
        <f t="shared" ca="1" si="6"/>
        <v>#VALUE!</v>
      </c>
      <c r="H48" t="e">
        <f t="shared" ca="1" si="7"/>
        <v>#VALUE!</v>
      </c>
      <c r="I48" t="e">
        <f t="shared" ca="1" si="8"/>
        <v>#VALUE!</v>
      </c>
      <c r="J48" t="e">
        <f t="shared" ca="1" si="1"/>
        <v>#VALUE!</v>
      </c>
      <c r="K48" t="e">
        <f t="shared" ca="1" si="9"/>
        <v>#VALUE!</v>
      </c>
      <c r="L48" t="e">
        <f t="shared" ca="1" si="10"/>
        <v>#VALUE!</v>
      </c>
      <c r="M48" t="e">
        <f t="shared" ca="1" si="11"/>
        <v>#VALUE!</v>
      </c>
      <c r="N48" t="e">
        <f t="shared" ca="1" si="12"/>
        <v>#VALUE!</v>
      </c>
      <c r="O48" t="e">
        <f t="shared" ca="1" si="13"/>
        <v>#VALUE!</v>
      </c>
      <c r="P48" t="e">
        <f t="shared" ca="1" si="17"/>
        <v>#VALUE!</v>
      </c>
      <c r="Q48" t="e">
        <f t="shared" ca="1" si="14"/>
        <v>#VALUE!</v>
      </c>
      <c r="R48" t="e">
        <f t="shared" ca="1" si="15"/>
        <v>#VALUE!</v>
      </c>
      <c r="S48" t="e">
        <f t="shared" ca="1" si="16"/>
        <v>#VALUE!</v>
      </c>
    </row>
    <row r="49" spans="1:19" x14ac:dyDescent="0.2">
      <c r="A49">
        <v>49</v>
      </c>
      <c r="B49" s="3" t="str">
        <f t="shared" ca="1" si="18"/>
        <v/>
      </c>
      <c r="C49" s="3" t="str">
        <f t="shared" ca="1" si="2"/>
        <v/>
      </c>
      <c r="D49" t="e">
        <f t="shared" ca="1" si="3"/>
        <v>#VALUE!</v>
      </c>
      <c r="E49" t="e">
        <f t="shared" ca="1" si="4"/>
        <v>#VALUE!</v>
      </c>
      <c r="F49" t="e">
        <f t="shared" ca="1" si="5"/>
        <v>#VALUE!</v>
      </c>
      <c r="G49" t="e">
        <f t="shared" ca="1" si="6"/>
        <v>#VALUE!</v>
      </c>
      <c r="H49" t="e">
        <f t="shared" ca="1" si="7"/>
        <v>#VALUE!</v>
      </c>
      <c r="I49" t="e">
        <f t="shared" ca="1" si="8"/>
        <v>#VALUE!</v>
      </c>
      <c r="J49" t="e">
        <f t="shared" ca="1" si="1"/>
        <v>#VALUE!</v>
      </c>
      <c r="K49" t="e">
        <f t="shared" ca="1" si="9"/>
        <v>#VALUE!</v>
      </c>
      <c r="L49" t="e">
        <f t="shared" ca="1" si="10"/>
        <v>#VALUE!</v>
      </c>
      <c r="M49" t="e">
        <f t="shared" ca="1" si="11"/>
        <v>#VALUE!</v>
      </c>
      <c r="N49" t="e">
        <f t="shared" ca="1" si="12"/>
        <v>#VALUE!</v>
      </c>
      <c r="O49" t="e">
        <f t="shared" ca="1" si="13"/>
        <v>#VALUE!</v>
      </c>
      <c r="P49" t="e">
        <f t="shared" ca="1" si="17"/>
        <v>#VALUE!</v>
      </c>
      <c r="Q49" t="e">
        <f t="shared" ca="1" si="14"/>
        <v>#VALUE!</v>
      </c>
      <c r="R49" t="e">
        <f t="shared" ca="1" si="15"/>
        <v>#VALUE!</v>
      </c>
      <c r="S49" t="e">
        <f t="shared" ca="1" si="16"/>
        <v>#VALUE!</v>
      </c>
    </row>
    <row r="50" spans="1:19" x14ac:dyDescent="0.2">
      <c r="A50">
        <v>50</v>
      </c>
      <c r="B50" s="3" t="str">
        <f t="shared" ca="1" si="18"/>
        <v/>
      </c>
      <c r="C50" s="3" t="str">
        <f t="shared" ca="1" si="2"/>
        <v/>
      </c>
      <c r="D50" t="e">
        <f t="shared" ca="1" si="3"/>
        <v>#VALUE!</v>
      </c>
      <c r="E50" t="e">
        <f t="shared" ca="1" si="4"/>
        <v>#VALUE!</v>
      </c>
      <c r="F50" t="e">
        <f t="shared" ca="1" si="5"/>
        <v>#VALUE!</v>
      </c>
      <c r="G50" t="e">
        <f t="shared" ca="1" si="6"/>
        <v>#VALUE!</v>
      </c>
      <c r="H50" t="e">
        <f t="shared" ca="1" si="7"/>
        <v>#VALUE!</v>
      </c>
      <c r="I50" t="e">
        <f t="shared" ca="1" si="8"/>
        <v>#VALUE!</v>
      </c>
      <c r="J50" t="e">
        <f t="shared" ca="1" si="1"/>
        <v>#VALUE!</v>
      </c>
      <c r="K50" t="e">
        <f t="shared" ca="1" si="9"/>
        <v>#VALUE!</v>
      </c>
      <c r="L50" t="e">
        <f t="shared" ca="1" si="10"/>
        <v>#VALUE!</v>
      </c>
      <c r="M50" t="e">
        <f t="shared" ca="1" si="11"/>
        <v>#VALUE!</v>
      </c>
      <c r="N50" t="e">
        <f t="shared" ca="1" si="12"/>
        <v>#VALUE!</v>
      </c>
      <c r="O50" t="e">
        <f t="shared" ca="1" si="13"/>
        <v>#VALUE!</v>
      </c>
      <c r="P50" t="e">
        <f t="shared" ca="1" si="17"/>
        <v>#VALUE!</v>
      </c>
      <c r="Q50" t="e">
        <f t="shared" ca="1" si="14"/>
        <v>#VALUE!</v>
      </c>
      <c r="R50" t="e">
        <f t="shared" ca="1" si="15"/>
        <v>#VALUE!</v>
      </c>
      <c r="S50" t="e">
        <f t="shared" ca="1" si="16"/>
        <v>#VALUE!</v>
      </c>
    </row>
    <row r="51" spans="1:19" x14ac:dyDescent="0.2">
      <c r="A51">
        <v>51</v>
      </c>
      <c r="B51" s="3" t="str">
        <f t="shared" ca="1" si="18"/>
        <v/>
      </c>
      <c r="C51" s="3" t="str">
        <f t="shared" ca="1" si="2"/>
        <v/>
      </c>
      <c r="D51" t="e">
        <f t="shared" ca="1" si="3"/>
        <v>#VALUE!</v>
      </c>
      <c r="E51" t="e">
        <f t="shared" ca="1" si="4"/>
        <v>#VALUE!</v>
      </c>
      <c r="F51" t="e">
        <f t="shared" ca="1" si="5"/>
        <v>#VALUE!</v>
      </c>
      <c r="G51" t="e">
        <f t="shared" ca="1" si="6"/>
        <v>#VALUE!</v>
      </c>
      <c r="H51" t="e">
        <f t="shared" ca="1" si="7"/>
        <v>#VALUE!</v>
      </c>
      <c r="I51" t="e">
        <f t="shared" ca="1" si="8"/>
        <v>#VALUE!</v>
      </c>
      <c r="J51" t="e">
        <f t="shared" ca="1" si="1"/>
        <v>#VALUE!</v>
      </c>
      <c r="K51" t="e">
        <f t="shared" ca="1" si="9"/>
        <v>#VALUE!</v>
      </c>
      <c r="L51" t="e">
        <f t="shared" ca="1" si="10"/>
        <v>#VALUE!</v>
      </c>
      <c r="M51" t="e">
        <f t="shared" ca="1" si="11"/>
        <v>#VALUE!</v>
      </c>
      <c r="N51" t="e">
        <f t="shared" ca="1" si="12"/>
        <v>#VALUE!</v>
      </c>
      <c r="O51" t="e">
        <f t="shared" ca="1" si="13"/>
        <v>#VALUE!</v>
      </c>
      <c r="P51" t="e">
        <f t="shared" ca="1" si="17"/>
        <v>#VALUE!</v>
      </c>
      <c r="Q51" t="e">
        <f t="shared" ca="1" si="14"/>
        <v>#VALUE!</v>
      </c>
      <c r="R51" t="e">
        <f t="shared" ca="1" si="15"/>
        <v>#VALUE!</v>
      </c>
      <c r="S51" t="e">
        <f t="shared" ca="1" si="16"/>
        <v>#VALUE!</v>
      </c>
    </row>
    <row r="52" spans="1:19" x14ac:dyDescent="0.2">
      <c r="A52">
        <v>52</v>
      </c>
      <c r="B52" s="3" t="str">
        <f t="shared" ca="1" si="18"/>
        <v/>
      </c>
      <c r="C52" s="3" t="str">
        <f t="shared" ca="1" si="2"/>
        <v/>
      </c>
      <c r="D52" t="e">
        <f t="shared" ca="1" si="3"/>
        <v>#VALUE!</v>
      </c>
      <c r="E52" t="e">
        <f t="shared" ca="1" si="4"/>
        <v>#VALUE!</v>
      </c>
      <c r="F52" t="e">
        <f t="shared" ca="1" si="5"/>
        <v>#VALUE!</v>
      </c>
      <c r="G52" t="e">
        <f t="shared" ca="1" si="6"/>
        <v>#VALUE!</v>
      </c>
      <c r="H52" t="e">
        <f t="shared" ca="1" si="7"/>
        <v>#VALUE!</v>
      </c>
      <c r="I52" t="e">
        <f t="shared" ca="1" si="8"/>
        <v>#VALUE!</v>
      </c>
      <c r="J52" t="e">
        <f t="shared" ca="1" si="1"/>
        <v>#VALUE!</v>
      </c>
      <c r="K52" t="e">
        <f t="shared" ca="1" si="9"/>
        <v>#VALUE!</v>
      </c>
      <c r="L52" t="e">
        <f t="shared" ca="1" si="10"/>
        <v>#VALUE!</v>
      </c>
      <c r="M52" t="e">
        <f t="shared" ca="1" si="11"/>
        <v>#VALUE!</v>
      </c>
      <c r="N52" t="e">
        <f t="shared" ca="1" si="12"/>
        <v>#VALUE!</v>
      </c>
      <c r="O52" t="e">
        <f t="shared" ca="1" si="13"/>
        <v>#VALUE!</v>
      </c>
      <c r="P52" t="e">
        <f t="shared" ca="1" si="17"/>
        <v>#VALUE!</v>
      </c>
      <c r="Q52" t="e">
        <f t="shared" ca="1" si="14"/>
        <v>#VALUE!</v>
      </c>
      <c r="R52" t="e">
        <f t="shared" ca="1" si="15"/>
        <v>#VALUE!</v>
      </c>
      <c r="S52" t="e">
        <f t="shared" ca="1" si="16"/>
        <v>#VALUE!</v>
      </c>
    </row>
    <row r="53" spans="1:19" x14ac:dyDescent="0.2">
      <c r="A53">
        <v>53</v>
      </c>
      <c r="B53" s="3" t="str">
        <f t="shared" ca="1" si="18"/>
        <v/>
      </c>
      <c r="C53" s="3" t="str">
        <f t="shared" ca="1" si="2"/>
        <v/>
      </c>
      <c r="D53" t="e">
        <f t="shared" ca="1" si="3"/>
        <v>#VALUE!</v>
      </c>
      <c r="E53" t="e">
        <f t="shared" ca="1" si="4"/>
        <v>#VALUE!</v>
      </c>
      <c r="F53" t="e">
        <f t="shared" ca="1" si="5"/>
        <v>#VALUE!</v>
      </c>
      <c r="G53" t="e">
        <f t="shared" ca="1" si="6"/>
        <v>#VALUE!</v>
      </c>
      <c r="H53" t="e">
        <f t="shared" ca="1" si="7"/>
        <v>#VALUE!</v>
      </c>
      <c r="I53" t="e">
        <f t="shared" ca="1" si="8"/>
        <v>#VALUE!</v>
      </c>
      <c r="J53" t="e">
        <f t="shared" ca="1" si="1"/>
        <v>#VALUE!</v>
      </c>
      <c r="K53" t="e">
        <f t="shared" ca="1" si="9"/>
        <v>#VALUE!</v>
      </c>
      <c r="L53" t="e">
        <f t="shared" ca="1" si="10"/>
        <v>#VALUE!</v>
      </c>
      <c r="M53" t="e">
        <f t="shared" ca="1" si="11"/>
        <v>#VALUE!</v>
      </c>
      <c r="N53" t="e">
        <f t="shared" ca="1" si="12"/>
        <v>#VALUE!</v>
      </c>
      <c r="O53" t="e">
        <f t="shared" ca="1" si="13"/>
        <v>#VALUE!</v>
      </c>
      <c r="P53" t="e">
        <f t="shared" ca="1" si="17"/>
        <v>#VALUE!</v>
      </c>
      <c r="Q53" t="e">
        <f t="shared" ca="1" si="14"/>
        <v>#VALUE!</v>
      </c>
      <c r="R53" t="e">
        <f t="shared" ca="1" si="15"/>
        <v>#VALUE!</v>
      </c>
      <c r="S53" t="e">
        <f t="shared" ca="1" si="16"/>
        <v>#VALUE!</v>
      </c>
    </row>
    <row r="54" spans="1:19" x14ac:dyDescent="0.2">
      <c r="A54">
        <v>54</v>
      </c>
      <c r="B54" s="3" t="str">
        <f t="shared" ca="1" si="18"/>
        <v/>
      </c>
      <c r="C54" s="3" t="str">
        <f t="shared" ca="1" si="2"/>
        <v/>
      </c>
      <c r="D54" t="e">
        <f t="shared" ca="1" si="3"/>
        <v>#VALUE!</v>
      </c>
      <c r="E54" t="e">
        <f t="shared" ca="1" si="4"/>
        <v>#VALUE!</v>
      </c>
      <c r="F54" t="e">
        <f t="shared" ca="1" si="5"/>
        <v>#VALUE!</v>
      </c>
      <c r="G54" t="e">
        <f t="shared" ca="1" si="6"/>
        <v>#VALUE!</v>
      </c>
      <c r="H54" t="e">
        <f t="shared" ca="1" si="7"/>
        <v>#VALUE!</v>
      </c>
      <c r="I54" t="e">
        <f t="shared" ca="1" si="8"/>
        <v>#VALUE!</v>
      </c>
      <c r="J54" t="e">
        <f t="shared" ca="1" si="1"/>
        <v>#VALUE!</v>
      </c>
      <c r="K54" t="e">
        <f t="shared" ca="1" si="9"/>
        <v>#VALUE!</v>
      </c>
      <c r="L54" t="e">
        <f t="shared" ca="1" si="10"/>
        <v>#VALUE!</v>
      </c>
      <c r="M54" t="e">
        <f t="shared" ca="1" si="11"/>
        <v>#VALUE!</v>
      </c>
      <c r="N54" t="e">
        <f t="shared" ca="1" si="12"/>
        <v>#VALUE!</v>
      </c>
      <c r="O54" t="e">
        <f t="shared" ca="1" si="13"/>
        <v>#VALUE!</v>
      </c>
      <c r="P54" t="e">
        <f t="shared" ca="1" si="17"/>
        <v>#VALUE!</v>
      </c>
      <c r="Q54" t="e">
        <f t="shared" ca="1" si="14"/>
        <v>#VALUE!</v>
      </c>
      <c r="R54" t="e">
        <f t="shared" ca="1" si="15"/>
        <v>#VALUE!</v>
      </c>
      <c r="S54" t="e">
        <f t="shared" ca="1" si="16"/>
        <v>#VALUE!</v>
      </c>
    </row>
    <row r="55" spans="1:19" x14ac:dyDescent="0.2">
      <c r="A55">
        <v>55</v>
      </c>
      <c r="B55" s="3" t="str">
        <f t="shared" ca="1" si="18"/>
        <v/>
      </c>
      <c r="C55" s="3" t="str">
        <f t="shared" ca="1" si="2"/>
        <v/>
      </c>
      <c r="D55" t="e">
        <f t="shared" ca="1" si="3"/>
        <v>#VALUE!</v>
      </c>
      <c r="E55" t="e">
        <f t="shared" ca="1" si="4"/>
        <v>#VALUE!</v>
      </c>
      <c r="F55" t="e">
        <f t="shared" ca="1" si="5"/>
        <v>#VALUE!</v>
      </c>
      <c r="G55" t="e">
        <f t="shared" ca="1" si="6"/>
        <v>#VALUE!</v>
      </c>
      <c r="H55" t="e">
        <f t="shared" ca="1" si="7"/>
        <v>#VALUE!</v>
      </c>
      <c r="I55" t="e">
        <f t="shared" ca="1" si="8"/>
        <v>#VALUE!</v>
      </c>
      <c r="J55" t="e">
        <f t="shared" ca="1" si="1"/>
        <v>#VALUE!</v>
      </c>
      <c r="K55" t="e">
        <f t="shared" ca="1" si="9"/>
        <v>#VALUE!</v>
      </c>
      <c r="L55" t="e">
        <f t="shared" ca="1" si="10"/>
        <v>#VALUE!</v>
      </c>
      <c r="M55" t="e">
        <f t="shared" ca="1" si="11"/>
        <v>#VALUE!</v>
      </c>
      <c r="N55" t="e">
        <f t="shared" ca="1" si="12"/>
        <v>#VALUE!</v>
      </c>
      <c r="O55" t="e">
        <f t="shared" ca="1" si="13"/>
        <v>#VALUE!</v>
      </c>
      <c r="P55" t="e">
        <f t="shared" ca="1" si="17"/>
        <v>#VALUE!</v>
      </c>
      <c r="Q55" t="e">
        <f t="shared" ca="1" si="14"/>
        <v>#VALUE!</v>
      </c>
      <c r="R55" t="e">
        <f t="shared" ca="1" si="15"/>
        <v>#VALUE!</v>
      </c>
      <c r="S55" t="e">
        <f t="shared" ca="1" si="16"/>
        <v>#VALUE!</v>
      </c>
    </row>
    <row r="56" spans="1:19" x14ac:dyDescent="0.2">
      <c r="A56">
        <v>56</v>
      </c>
      <c r="B56" s="3" t="str">
        <f t="shared" ca="1" si="18"/>
        <v/>
      </c>
      <c r="C56" s="3" t="str">
        <f t="shared" ca="1" si="2"/>
        <v/>
      </c>
      <c r="D56" t="e">
        <f t="shared" ca="1" si="3"/>
        <v>#VALUE!</v>
      </c>
      <c r="E56" t="e">
        <f t="shared" ca="1" si="4"/>
        <v>#VALUE!</v>
      </c>
      <c r="F56" t="e">
        <f t="shared" ca="1" si="5"/>
        <v>#VALUE!</v>
      </c>
      <c r="G56" t="e">
        <f t="shared" ca="1" si="6"/>
        <v>#VALUE!</v>
      </c>
      <c r="H56" t="e">
        <f t="shared" ca="1" si="7"/>
        <v>#VALUE!</v>
      </c>
      <c r="I56" t="e">
        <f t="shared" ca="1" si="8"/>
        <v>#VALUE!</v>
      </c>
      <c r="J56" t="e">
        <f t="shared" ca="1" si="1"/>
        <v>#VALUE!</v>
      </c>
      <c r="K56" t="e">
        <f t="shared" ca="1" si="9"/>
        <v>#VALUE!</v>
      </c>
      <c r="L56" t="e">
        <f t="shared" ca="1" si="10"/>
        <v>#VALUE!</v>
      </c>
      <c r="M56" t="e">
        <f t="shared" ca="1" si="11"/>
        <v>#VALUE!</v>
      </c>
      <c r="N56" t="e">
        <f t="shared" ca="1" si="12"/>
        <v>#VALUE!</v>
      </c>
      <c r="O56" t="e">
        <f t="shared" ca="1" si="13"/>
        <v>#VALUE!</v>
      </c>
      <c r="P56" t="e">
        <f t="shared" ca="1" si="17"/>
        <v>#VALUE!</v>
      </c>
      <c r="Q56" t="e">
        <f t="shared" ca="1" si="14"/>
        <v>#VALUE!</v>
      </c>
      <c r="R56" t="e">
        <f t="shared" ca="1" si="15"/>
        <v>#VALUE!</v>
      </c>
      <c r="S56" t="e">
        <f t="shared" ca="1" si="16"/>
        <v>#VALUE!</v>
      </c>
    </row>
    <row r="57" spans="1:19" x14ac:dyDescent="0.2">
      <c r="A57">
        <v>57</v>
      </c>
      <c r="B57" s="3" t="str">
        <f t="shared" ca="1" si="18"/>
        <v/>
      </c>
      <c r="C57" s="3" t="str">
        <f t="shared" ca="1" si="2"/>
        <v/>
      </c>
      <c r="D57" t="e">
        <f t="shared" ca="1" si="3"/>
        <v>#VALUE!</v>
      </c>
      <c r="E57" t="e">
        <f t="shared" ca="1" si="4"/>
        <v>#VALUE!</v>
      </c>
      <c r="F57" t="e">
        <f t="shared" ca="1" si="5"/>
        <v>#VALUE!</v>
      </c>
      <c r="G57" t="e">
        <f t="shared" ca="1" si="6"/>
        <v>#VALUE!</v>
      </c>
      <c r="H57" t="e">
        <f t="shared" ca="1" si="7"/>
        <v>#VALUE!</v>
      </c>
      <c r="I57" t="e">
        <f t="shared" ca="1" si="8"/>
        <v>#VALUE!</v>
      </c>
      <c r="J57" t="e">
        <f t="shared" ca="1" si="1"/>
        <v>#VALUE!</v>
      </c>
      <c r="K57" t="e">
        <f t="shared" ca="1" si="9"/>
        <v>#VALUE!</v>
      </c>
      <c r="L57" t="e">
        <f t="shared" ca="1" si="10"/>
        <v>#VALUE!</v>
      </c>
      <c r="M57" t="e">
        <f t="shared" ca="1" si="11"/>
        <v>#VALUE!</v>
      </c>
      <c r="N57" t="e">
        <f t="shared" ca="1" si="12"/>
        <v>#VALUE!</v>
      </c>
      <c r="O57" t="e">
        <f t="shared" ca="1" si="13"/>
        <v>#VALUE!</v>
      </c>
      <c r="P57" t="e">
        <f t="shared" ca="1" si="17"/>
        <v>#VALUE!</v>
      </c>
      <c r="Q57" t="e">
        <f t="shared" ca="1" si="14"/>
        <v>#VALUE!</v>
      </c>
      <c r="R57" t="e">
        <f t="shared" ca="1" si="15"/>
        <v>#VALUE!</v>
      </c>
      <c r="S57" t="e">
        <f t="shared" ca="1" si="16"/>
        <v>#VALUE!</v>
      </c>
    </row>
    <row r="58" spans="1:19" x14ac:dyDescent="0.2">
      <c r="A58">
        <v>58</v>
      </c>
      <c r="B58" s="3" t="str">
        <f t="shared" ca="1" si="18"/>
        <v/>
      </c>
      <c r="C58" s="3" t="str">
        <f t="shared" ca="1" si="2"/>
        <v/>
      </c>
      <c r="D58" t="e">
        <f t="shared" ca="1" si="3"/>
        <v>#VALUE!</v>
      </c>
      <c r="E58" t="e">
        <f t="shared" ca="1" si="4"/>
        <v>#VALUE!</v>
      </c>
      <c r="F58" t="e">
        <f t="shared" ca="1" si="5"/>
        <v>#VALUE!</v>
      </c>
      <c r="G58" t="e">
        <f t="shared" ca="1" si="6"/>
        <v>#VALUE!</v>
      </c>
      <c r="H58" t="e">
        <f t="shared" ca="1" si="7"/>
        <v>#VALUE!</v>
      </c>
      <c r="I58" t="e">
        <f t="shared" ca="1" si="8"/>
        <v>#VALUE!</v>
      </c>
      <c r="J58" t="e">
        <f t="shared" ca="1" si="1"/>
        <v>#VALUE!</v>
      </c>
      <c r="K58" t="e">
        <f t="shared" ca="1" si="9"/>
        <v>#VALUE!</v>
      </c>
      <c r="L58" t="e">
        <f t="shared" ca="1" si="10"/>
        <v>#VALUE!</v>
      </c>
      <c r="M58" t="e">
        <f t="shared" ca="1" si="11"/>
        <v>#VALUE!</v>
      </c>
      <c r="N58" t="e">
        <f t="shared" ca="1" si="12"/>
        <v>#VALUE!</v>
      </c>
      <c r="O58" t="e">
        <f t="shared" ca="1" si="13"/>
        <v>#VALUE!</v>
      </c>
      <c r="P58" t="e">
        <f t="shared" ca="1" si="17"/>
        <v>#VALUE!</v>
      </c>
      <c r="Q58" t="e">
        <f t="shared" ca="1" si="14"/>
        <v>#VALUE!</v>
      </c>
      <c r="R58" t="e">
        <f t="shared" ca="1" si="15"/>
        <v>#VALUE!</v>
      </c>
      <c r="S58" t="e">
        <f t="shared" ca="1" si="16"/>
        <v>#VALUE!</v>
      </c>
    </row>
    <row r="59" spans="1:19" x14ac:dyDescent="0.2">
      <c r="A59">
        <v>59</v>
      </c>
      <c r="B59" s="3" t="str">
        <f t="shared" ca="1" si="18"/>
        <v/>
      </c>
      <c r="C59" s="3" t="str">
        <f t="shared" ca="1" si="2"/>
        <v/>
      </c>
      <c r="D59" t="e">
        <f t="shared" ca="1" si="3"/>
        <v>#VALUE!</v>
      </c>
      <c r="E59" t="e">
        <f t="shared" ca="1" si="4"/>
        <v>#VALUE!</v>
      </c>
      <c r="F59" t="e">
        <f t="shared" ca="1" si="5"/>
        <v>#VALUE!</v>
      </c>
      <c r="G59" t="e">
        <f t="shared" ca="1" si="6"/>
        <v>#VALUE!</v>
      </c>
      <c r="H59" t="e">
        <f t="shared" ca="1" si="7"/>
        <v>#VALUE!</v>
      </c>
      <c r="I59" t="e">
        <f t="shared" ca="1" si="8"/>
        <v>#VALUE!</v>
      </c>
      <c r="J59" t="e">
        <f t="shared" ca="1" si="1"/>
        <v>#VALUE!</v>
      </c>
      <c r="K59" t="e">
        <f t="shared" ca="1" si="9"/>
        <v>#VALUE!</v>
      </c>
      <c r="L59" t="e">
        <f t="shared" ca="1" si="10"/>
        <v>#VALUE!</v>
      </c>
      <c r="M59" t="e">
        <f t="shared" ca="1" si="11"/>
        <v>#VALUE!</v>
      </c>
      <c r="N59" t="e">
        <f t="shared" ca="1" si="12"/>
        <v>#VALUE!</v>
      </c>
      <c r="O59" t="e">
        <f t="shared" ca="1" si="13"/>
        <v>#VALUE!</v>
      </c>
      <c r="P59" t="e">
        <f t="shared" ca="1" si="17"/>
        <v>#VALUE!</v>
      </c>
      <c r="Q59" t="e">
        <f t="shared" ca="1" si="14"/>
        <v>#VALUE!</v>
      </c>
      <c r="R59" t="e">
        <f t="shared" ca="1" si="15"/>
        <v>#VALUE!</v>
      </c>
      <c r="S59" t="e">
        <f t="shared" ca="1" si="16"/>
        <v>#VALUE!</v>
      </c>
    </row>
    <row r="60" spans="1:19" x14ac:dyDescent="0.2">
      <c r="A60">
        <v>60</v>
      </c>
      <c r="B60" s="3" t="str">
        <f t="shared" ca="1" si="18"/>
        <v/>
      </c>
      <c r="C60" s="3" t="str">
        <f t="shared" ca="1" si="2"/>
        <v/>
      </c>
      <c r="D60" t="e">
        <f t="shared" ca="1" si="3"/>
        <v>#VALUE!</v>
      </c>
      <c r="E60" t="e">
        <f t="shared" ca="1" si="4"/>
        <v>#VALUE!</v>
      </c>
      <c r="F60" t="e">
        <f t="shared" ca="1" si="5"/>
        <v>#VALUE!</v>
      </c>
      <c r="G60" t="e">
        <f t="shared" ca="1" si="6"/>
        <v>#VALUE!</v>
      </c>
      <c r="H60" t="e">
        <f t="shared" ca="1" si="7"/>
        <v>#VALUE!</v>
      </c>
      <c r="I60" t="e">
        <f t="shared" ca="1" si="8"/>
        <v>#VALUE!</v>
      </c>
      <c r="J60" t="e">
        <f t="shared" ca="1" si="1"/>
        <v>#VALUE!</v>
      </c>
      <c r="K60" t="e">
        <f t="shared" ca="1" si="9"/>
        <v>#VALUE!</v>
      </c>
      <c r="L60" t="e">
        <f t="shared" ca="1" si="10"/>
        <v>#VALUE!</v>
      </c>
      <c r="M60" t="e">
        <f t="shared" ca="1" si="11"/>
        <v>#VALUE!</v>
      </c>
      <c r="N60" t="e">
        <f t="shared" ca="1" si="12"/>
        <v>#VALUE!</v>
      </c>
      <c r="O60" t="e">
        <f t="shared" ca="1" si="13"/>
        <v>#VALUE!</v>
      </c>
      <c r="P60" t="e">
        <f t="shared" ca="1" si="17"/>
        <v>#VALUE!</v>
      </c>
      <c r="Q60" t="e">
        <f t="shared" ca="1" si="14"/>
        <v>#VALUE!</v>
      </c>
      <c r="R60" t="e">
        <f t="shared" ca="1" si="15"/>
        <v>#VALUE!</v>
      </c>
      <c r="S60" t="e">
        <f t="shared" ca="1" si="16"/>
        <v>#VALUE!</v>
      </c>
    </row>
    <row r="61" spans="1:19" x14ac:dyDescent="0.2">
      <c r="A61">
        <v>61</v>
      </c>
      <c r="B61" s="3" t="str">
        <f t="shared" ca="1" si="18"/>
        <v/>
      </c>
      <c r="C61" s="3" t="str">
        <f t="shared" ca="1" si="2"/>
        <v/>
      </c>
      <c r="D61" t="e">
        <f t="shared" ca="1" si="3"/>
        <v>#VALUE!</v>
      </c>
      <c r="E61" t="e">
        <f t="shared" ca="1" si="4"/>
        <v>#VALUE!</v>
      </c>
      <c r="F61" t="e">
        <f t="shared" ca="1" si="5"/>
        <v>#VALUE!</v>
      </c>
      <c r="G61" t="e">
        <f t="shared" ca="1" si="6"/>
        <v>#VALUE!</v>
      </c>
      <c r="H61" t="e">
        <f t="shared" ca="1" si="7"/>
        <v>#VALUE!</v>
      </c>
      <c r="I61" t="e">
        <f t="shared" ca="1" si="8"/>
        <v>#VALUE!</v>
      </c>
      <c r="J61" t="e">
        <f t="shared" ca="1" si="1"/>
        <v>#VALUE!</v>
      </c>
      <c r="K61" t="e">
        <f t="shared" ca="1" si="9"/>
        <v>#VALUE!</v>
      </c>
      <c r="L61" t="e">
        <f t="shared" ca="1" si="10"/>
        <v>#VALUE!</v>
      </c>
      <c r="M61" t="e">
        <f t="shared" ca="1" si="11"/>
        <v>#VALUE!</v>
      </c>
      <c r="N61" t="e">
        <f t="shared" ca="1" si="12"/>
        <v>#VALUE!</v>
      </c>
      <c r="O61" t="e">
        <f t="shared" ca="1" si="13"/>
        <v>#VALUE!</v>
      </c>
      <c r="P61" t="e">
        <f t="shared" ca="1" si="17"/>
        <v>#VALUE!</v>
      </c>
      <c r="Q61" t="e">
        <f t="shared" ca="1" si="14"/>
        <v>#VALUE!</v>
      </c>
      <c r="R61" t="e">
        <f t="shared" ca="1" si="15"/>
        <v>#VALUE!</v>
      </c>
      <c r="S61" t="e">
        <f t="shared" ca="1" si="16"/>
        <v>#VALUE!</v>
      </c>
    </row>
    <row r="62" spans="1:19" x14ac:dyDescent="0.2">
      <c r="A62">
        <v>62</v>
      </c>
      <c r="B62" s="3" t="str">
        <f t="shared" ca="1" si="18"/>
        <v/>
      </c>
      <c r="C62" s="3" t="str">
        <f t="shared" ca="1" si="2"/>
        <v/>
      </c>
      <c r="D62" t="e">
        <f t="shared" ca="1" si="3"/>
        <v>#VALUE!</v>
      </c>
      <c r="E62" t="e">
        <f t="shared" ca="1" si="4"/>
        <v>#VALUE!</v>
      </c>
      <c r="F62" t="e">
        <f t="shared" ca="1" si="5"/>
        <v>#VALUE!</v>
      </c>
      <c r="G62" t="e">
        <f t="shared" ca="1" si="6"/>
        <v>#VALUE!</v>
      </c>
      <c r="H62" t="e">
        <f t="shared" ca="1" si="7"/>
        <v>#VALUE!</v>
      </c>
      <c r="I62" t="e">
        <f t="shared" ca="1" si="8"/>
        <v>#VALUE!</v>
      </c>
      <c r="J62" t="e">
        <f t="shared" ca="1" si="1"/>
        <v>#VALUE!</v>
      </c>
      <c r="K62" t="e">
        <f t="shared" ca="1" si="9"/>
        <v>#VALUE!</v>
      </c>
      <c r="L62" t="e">
        <f t="shared" ca="1" si="10"/>
        <v>#VALUE!</v>
      </c>
      <c r="M62" t="e">
        <f t="shared" ca="1" si="11"/>
        <v>#VALUE!</v>
      </c>
      <c r="N62" t="e">
        <f t="shared" ca="1" si="12"/>
        <v>#VALUE!</v>
      </c>
      <c r="O62" t="e">
        <f t="shared" ca="1" si="13"/>
        <v>#VALUE!</v>
      </c>
      <c r="P62" t="e">
        <f t="shared" ca="1" si="17"/>
        <v>#VALUE!</v>
      </c>
      <c r="Q62" t="e">
        <f t="shared" ca="1" si="14"/>
        <v>#VALUE!</v>
      </c>
      <c r="R62" t="e">
        <f t="shared" ca="1" si="15"/>
        <v>#VALUE!</v>
      </c>
      <c r="S62" t="e">
        <f t="shared" ca="1" si="16"/>
        <v>#VALUE!</v>
      </c>
    </row>
    <row r="63" spans="1:19" x14ac:dyDescent="0.2">
      <c r="A63">
        <v>63</v>
      </c>
      <c r="B63" s="3" t="str">
        <f t="shared" ca="1" si="18"/>
        <v/>
      </c>
      <c r="C63" s="3" t="str">
        <f t="shared" ca="1" si="2"/>
        <v/>
      </c>
      <c r="D63" t="e">
        <f t="shared" ca="1" si="3"/>
        <v>#VALUE!</v>
      </c>
      <c r="E63" t="e">
        <f t="shared" ca="1" si="4"/>
        <v>#VALUE!</v>
      </c>
      <c r="F63" t="e">
        <f t="shared" ca="1" si="5"/>
        <v>#VALUE!</v>
      </c>
      <c r="G63" t="e">
        <f t="shared" ca="1" si="6"/>
        <v>#VALUE!</v>
      </c>
      <c r="H63" t="e">
        <f t="shared" ca="1" si="7"/>
        <v>#VALUE!</v>
      </c>
      <c r="I63" t="e">
        <f t="shared" ca="1" si="8"/>
        <v>#VALUE!</v>
      </c>
      <c r="J63" t="e">
        <f t="shared" ca="1" si="1"/>
        <v>#VALUE!</v>
      </c>
      <c r="K63" t="e">
        <f t="shared" ca="1" si="9"/>
        <v>#VALUE!</v>
      </c>
      <c r="L63" t="e">
        <f t="shared" ca="1" si="10"/>
        <v>#VALUE!</v>
      </c>
      <c r="M63" t="e">
        <f t="shared" ca="1" si="11"/>
        <v>#VALUE!</v>
      </c>
      <c r="N63" t="e">
        <f t="shared" ca="1" si="12"/>
        <v>#VALUE!</v>
      </c>
      <c r="O63" t="e">
        <f t="shared" ca="1" si="13"/>
        <v>#VALUE!</v>
      </c>
      <c r="P63" t="e">
        <f t="shared" ca="1" si="17"/>
        <v>#VALUE!</v>
      </c>
      <c r="Q63" t="e">
        <f t="shared" ca="1" si="14"/>
        <v>#VALUE!</v>
      </c>
      <c r="R63" t="e">
        <f t="shared" ca="1" si="15"/>
        <v>#VALUE!</v>
      </c>
      <c r="S63" t="e">
        <f t="shared" ca="1" si="16"/>
        <v>#VALUE!</v>
      </c>
    </row>
    <row r="64" spans="1:19" x14ac:dyDescent="0.2">
      <c r="A64">
        <v>64</v>
      </c>
      <c r="B64" s="3" t="str">
        <f t="shared" ca="1" si="18"/>
        <v/>
      </c>
      <c r="C64" s="3" t="str">
        <f t="shared" ca="1" si="2"/>
        <v/>
      </c>
      <c r="D64" t="e">
        <f t="shared" ca="1" si="3"/>
        <v>#VALUE!</v>
      </c>
      <c r="E64" t="e">
        <f t="shared" ca="1" si="4"/>
        <v>#VALUE!</v>
      </c>
      <c r="F64" t="e">
        <f t="shared" ca="1" si="5"/>
        <v>#VALUE!</v>
      </c>
      <c r="G64" t="e">
        <f t="shared" ca="1" si="6"/>
        <v>#VALUE!</v>
      </c>
      <c r="H64" t="e">
        <f t="shared" ca="1" si="7"/>
        <v>#VALUE!</v>
      </c>
      <c r="I64" t="e">
        <f t="shared" ca="1" si="8"/>
        <v>#VALUE!</v>
      </c>
      <c r="J64" t="e">
        <f t="shared" ca="1" si="1"/>
        <v>#VALUE!</v>
      </c>
      <c r="K64" t="e">
        <f t="shared" ca="1" si="9"/>
        <v>#VALUE!</v>
      </c>
      <c r="L64" t="e">
        <f t="shared" ca="1" si="10"/>
        <v>#VALUE!</v>
      </c>
      <c r="M64" t="e">
        <f t="shared" ca="1" si="11"/>
        <v>#VALUE!</v>
      </c>
      <c r="N64" t="e">
        <f t="shared" ca="1" si="12"/>
        <v>#VALUE!</v>
      </c>
      <c r="O64" t="e">
        <f t="shared" ca="1" si="13"/>
        <v>#VALUE!</v>
      </c>
      <c r="P64" t="e">
        <f t="shared" ca="1" si="17"/>
        <v>#VALUE!</v>
      </c>
      <c r="Q64" t="e">
        <f t="shared" ca="1" si="14"/>
        <v>#VALUE!</v>
      </c>
      <c r="R64" t="e">
        <f t="shared" ca="1" si="15"/>
        <v>#VALUE!</v>
      </c>
      <c r="S64" t="e">
        <f t="shared" ca="1" si="16"/>
        <v>#VALUE!</v>
      </c>
    </row>
    <row r="65" spans="1:19" x14ac:dyDescent="0.2">
      <c r="A65">
        <v>65</v>
      </c>
      <c r="B65" s="3" t="str">
        <f t="shared" ca="1" si="18"/>
        <v/>
      </c>
      <c r="C65" s="3" t="str">
        <f t="shared" ca="1" si="2"/>
        <v/>
      </c>
      <c r="D65" t="e">
        <f t="shared" ca="1" si="3"/>
        <v>#VALUE!</v>
      </c>
      <c r="E65" t="e">
        <f t="shared" ca="1" si="4"/>
        <v>#VALUE!</v>
      </c>
      <c r="F65" t="e">
        <f t="shared" ca="1" si="5"/>
        <v>#VALUE!</v>
      </c>
      <c r="G65" t="e">
        <f t="shared" ca="1" si="6"/>
        <v>#VALUE!</v>
      </c>
      <c r="H65" t="e">
        <f t="shared" ca="1" si="7"/>
        <v>#VALUE!</v>
      </c>
      <c r="I65" t="e">
        <f t="shared" ca="1" si="8"/>
        <v>#VALUE!</v>
      </c>
      <c r="J65" t="e">
        <f t="shared" ca="1" si="1"/>
        <v>#VALUE!</v>
      </c>
      <c r="K65" t="e">
        <f t="shared" ca="1" si="9"/>
        <v>#VALUE!</v>
      </c>
      <c r="L65" t="e">
        <f t="shared" ca="1" si="10"/>
        <v>#VALUE!</v>
      </c>
      <c r="M65" t="e">
        <f t="shared" ca="1" si="11"/>
        <v>#VALUE!</v>
      </c>
      <c r="N65" t="e">
        <f t="shared" ca="1" si="12"/>
        <v>#VALUE!</v>
      </c>
      <c r="O65" t="e">
        <f t="shared" ca="1" si="13"/>
        <v>#VALUE!</v>
      </c>
      <c r="P65" t="e">
        <f t="shared" ca="1" si="17"/>
        <v>#VALUE!</v>
      </c>
      <c r="Q65" t="e">
        <f t="shared" ca="1" si="14"/>
        <v>#VALUE!</v>
      </c>
      <c r="R65" t="e">
        <f t="shared" ca="1" si="15"/>
        <v>#VALUE!</v>
      </c>
      <c r="S65" t="e">
        <f t="shared" ca="1" si="16"/>
        <v>#VALUE!</v>
      </c>
    </row>
    <row r="66" spans="1:19" x14ac:dyDescent="0.2">
      <c r="A66">
        <v>66</v>
      </c>
      <c r="B66" s="3" t="str">
        <f t="shared" ref="B66:B97" ca="1" si="19">IF(A66&lt;=$W$1,INDIRECT("Spline!A"&amp;A66),"")</f>
        <v/>
      </c>
      <c r="C66" s="3" t="str">
        <f t="shared" ca="1" si="2"/>
        <v/>
      </c>
      <c r="D66" t="e">
        <f t="shared" ca="1" si="3"/>
        <v>#VALUE!</v>
      </c>
      <c r="E66" t="e">
        <f t="shared" ca="1" si="4"/>
        <v>#VALUE!</v>
      </c>
      <c r="F66" t="e">
        <f t="shared" ca="1" si="5"/>
        <v>#VALUE!</v>
      </c>
      <c r="G66" t="e">
        <f t="shared" ca="1" si="6"/>
        <v>#VALUE!</v>
      </c>
      <c r="H66" t="e">
        <f t="shared" ca="1" si="7"/>
        <v>#VALUE!</v>
      </c>
      <c r="I66" t="e">
        <f t="shared" ca="1" si="8"/>
        <v>#VALUE!</v>
      </c>
      <c r="J66" t="e">
        <f t="shared" ca="1" si="1"/>
        <v>#VALUE!</v>
      </c>
      <c r="K66" t="e">
        <f t="shared" ca="1" si="9"/>
        <v>#VALUE!</v>
      </c>
      <c r="L66" t="e">
        <f t="shared" ca="1" si="10"/>
        <v>#VALUE!</v>
      </c>
      <c r="M66" t="e">
        <f t="shared" ca="1" si="11"/>
        <v>#VALUE!</v>
      </c>
      <c r="N66" t="e">
        <f t="shared" ca="1" si="12"/>
        <v>#VALUE!</v>
      </c>
      <c r="O66" t="e">
        <f t="shared" ca="1" si="13"/>
        <v>#VALUE!</v>
      </c>
      <c r="P66" t="e">
        <f t="shared" ca="1" si="17"/>
        <v>#VALUE!</v>
      </c>
      <c r="Q66" t="e">
        <f t="shared" ca="1" si="14"/>
        <v>#VALUE!</v>
      </c>
      <c r="R66" t="e">
        <f t="shared" ca="1" si="15"/>
        <v>#VALUE!</v>
      </c>
      <c r="S66" t="e">
        <f t="shared" ca="1" si="16"/>
        <v>#VALUE!</v>
      </c>
    </row>
    <row r="67" spans="1:19" x14ac:dyDescent="0.2">
      <c r="A67">
        <v>67</v>
      </c>
      <c r="B67" s="3" t="str">
        <f t="shared" ca="1" si="19"/>
        <v/>
      </c>
      <c r="C67" s="3" t="str">
        <f t="shared" ca="1" si="2"/>
        <v/>
      </c>
      <c r="D67" t="e">
        <f t="shared" ca="1" si="3"/>
        <v>#VALUE!</v>
      </c>
      <c r="E67" t="e">
        <f t="shared" ca="1" si="4"/>
        <v>#VALUE!</v>
      </c>
      <c r="F67" t="e">
        <f t="shared" ca="1" si="5"/>
        <v>#VALUE!</v>
      </c>
      <c r="G67" t="e">
        <f t="shared" ca="1" si="6"/>
        <v>#VALUE!</v>
      </c>
      <c r="H67" t="e">
        <f t="shared" ca="1" si="7"/>
        <v>#VALUE!</v>
      </c>
      <c r="I67" t="e">
        <f t="shared" ca="1" si="8"/>
        <v>#VALUE!</v>
      </c>
      <c r="J67" t="e">
        <f t="shared" ref="J67:J100" ca="1" si="20">I67+I68</f>
        <v>#VALUE!</v>
      </c>
      <c r="K67" t="e">
        <f t="shared" ca="1" si="9"/>
        <v>#VALUE!</v>
      </c>
      <c r="L67" t="e">
        <f t="shared" ca="1" si="10"/>
        <v>#VALUE!</v>
      </c>
      <c r="M67" t="e">
        <f t="shared" ca="1" si="11"/>
        <v>#VALUE!</v>
      </c>
      <c r="N67" t="e">
        <f t="shared" ca="1" si="12"/>
        <v>#VALUE!</v>
      </c>
      <c r="O67" t="e">
        <f t="shared" ca="1" si="13"/>
        <v>#VALUE!</v>
      </c>
      <c r="P67" t="e">
        <f t="shared" ca="1" si="17"/>
        <v>#VALUE!</v>
      </c>
      <c r="Q67" t="e">
        <f t="shared" ca="1" si="14"/>
        <v>#VALUE!</v>
      </c>
      <c r="R67" t="e">
        <f t="shared" ca="1" si="15"/>
        <v>#VALUE!</v>
      </c>
      <c r="S67" t="e">
        <f t="shared" ca="1" si="16"/>
        <v>#VALUE!</v>
      </c>
    </row>
    <row r="68" spans="1:19" x14ac:dyDescent="0.2">
      <c r="A68">
        <v>68</v>
      </c>
      <c r="B68" s="3" t="str">
        <f t="shared" ca="1" si="19"/>
        <v/>
      </c>
      <c r="C68" s="3" t="str">
        <f t="shared" ref="C68:C100" ca="1" si="21">IF(A68&lt;=$W$1,INDIRECT("Spline!B"&amp;A68),"")</f>
        <v/>
      </c>
      <c r="D68" t="e">
        <f t="shared" ref="D68:D100" ca="1" si="22">B68-B67&gt;0</f>
        <v>#VALUE!</v>
      </c>
      <c r="E68" t="e">
        <f t="shared" ref="E68:E100" ca="1" si="23">C68-C67&gt;=0</f>
        <v>#VALUE!</v>
      </c>
      <c r="F68" t="e">
        <f t="shared" ref="F68:F100" ca="1" si="24">B69-B68</f>
        <v>#VALUE!</v>
      </c>
      <c r="G68" t="e">
        <f t="shared" ref="G68:G100" ca="1" si="25">C69-C68</f>
        <v>#VALUE!</v>
      </c>
      <c r="H68" t="e">
        <f t="shared" ref="H68:H100" ca="1" si="26">G68/F68</f>
        <v>#VALUE!</v>
      </c>
      <c r="I68" t="e">
        <f t="shared" ref="I68:I100" ca="1" si="27">F68</f>
        <v>#VALUE!</v>
      </c>
      <c r="J68" t="e">
        <f t="shared" ca="1" si="20"/>
        <v>#VALUE!</v>
      </c>
      <c r="K68" t="e">
        <f t="shared" ref="K68:K100" ca="1" si="28">(I68+J68)/(3*J68)</f>
        <v>#VALUE!</v>
      </c>
      <c r="L68" t="e">
        <f t="shared" ref="L68:L100" ca="1" si="29">(I69+J68)/(3*J68)</f>
        <v>#VALUE!</v>
      </c>
      <c r="M68" t="e">
        <f t="shared" ref="M68:M100" ca="1" si="30">MIN(ABS(H68),ABS(H69))</f>
        <v>#VALUE!</v>
      </c>
      <c r="N68" t="e">
        <f t="shared" ref="N68:N100" ca="1" si="31">MAX(ABS(H68),ABS(H69))</f>
        <v>#VALUE!</v>
      </c>
      <c r="O68" t="e">
        <f t="shared" ref="O68:O100" ca="1" si="32">IF(A68=$W$1,((2*I67+I66)*H67 - I67*H66)/(I67+I66),M67/(K67*H67/N67+L67*H68/N67))</f>
        <v>#VALUE!</v>
      </c>
      <c r="P68" t="e">
        <f t="shared" ca="1" si="17"/>
        <v>#VALUE!</v>
      </c>
      <c r="Q68" t="e">
        <f t="shared" ref="Q68:Q100" ca="1" si="33">P68*F68</f>
        <v>#VALUE!</v>
      </c>
      <c r="R68" t="e">
        <f t="shared" ref="R68:R100" ca="1" si="34">G68-Q68-S68</f>
        <v>#VALUE!</v>
      </c>
      <c r="S68" t="e">
        <f t="shared" ref="S68:S100" ca="1" si="35">F68*P69+Q68-2*G68</f>
        <v>#VALUE!</v>
      </c>
    </row>
    <row r="69" spans="1:19" x14ac:dyDescent="0.2">
      <c r="A69">
        <v>69</v>
      </c>
      <c r="B69" s="3" t="str">
        <f t="shared" ca="1" si="19"/>
        <v/>
      </c>
      <c r="C69" s="3" t="str">
        <f t="shared" ca="1" si="21"/>
        <v/>
      </c>
      <c r="D69" t="e">
        <f t="shared" ca="1" si="22"/>
        <v>#VALUE!</v>
      </c>
      <c r="E69" t="e">
        <f t="shared" ca="1" si="23"/>
        <v>#VALUE!</v>
      </c>
      <c r="F69" t="e">
        <f t="shared" ca="1" si="24"/>
        <v>#VALUE!</v>
      </c>
      <c r="G69" t="e">
        <f t="shared" ca="1" si="25"/>
        <v>#VALUE!</v>
      </c>
      <c r="H69" t="e">
        <f t="shared" ca="1" si="26"/>
        <v>#VALUE!</v>
      </c>
      <c r="I69" t="e">
        <f t="shared" ca="1" si="27"/>
        <v>#VALUE!</v>
      </c>
      <c r="J69" t="e">
        <f t="shared" ca="1" si="20"/>
        <v>#VALUE!</v>
      </c>
      <c r="K69" t="e">
        <f t="shared" ca="1" si="28"/>
        <v>#VALUE!</v>
      </c>
      <c r="L69" t="e">
        <f t="shared" ca="1" si="29"/>
        <v>#VALUE!</v>
      </c>
      <c r="M69" t="e">
        <f t="shared" ca="1" si="30"/>
        <v>#VALUE!</v>
      </c>
      <c r="N69" t="e">
        <f t="shared" ca="1" si="31"/>
        <v>#VALUE!</v>
      </c>
      <c r="O69" t="e">
        <f t="shared" ca="1" si="32"/>
        <v>#VALUE!</v>
      </c>
      <c r="P69" t="e">
        <f t="shared" ca="1" si="17"/>
        <v>#VALUE!</v>
      </c>
      <c r="Q69" t="e">
        <f t="shared" ca="1" si="33"/>
        <v>#VALUE!</v>
      </c>
      <c r="R69" t="e">
        <f t="shared" ca="1" si="34"/>
        <v>#VALUE!</v>
      </c>
      <c r="S69" t="e">
        <f t="shared" ca="1" si="35"/>
        <v>#VALUE!</v>
      </c>
    </row>
    <row r="70" spans="1:19" x14ac:dyDescent="0.2">
      <c r="A70">
        <v>70</v>
      </c>
      <c r="B70" s="3" t="str">
        <f t="shared" ca="1" si="19"/>
        <v/>
      </c>
      <c r="C70" s="3" t="str">
        <f t="shared" ca="1" si="21"/>
        <v/>
      </c>
      <c r="D70" t="e">
        <f t="shared" ca="1" si="22"/>
        <v>#VALUE!</v>
      </c>
      <c r="E70" t="e">
        <f t="shared" ca="1" si="23"/>
        <v>#VALUE!</v>
      </c>
      <c r="F70" t="e">
        <f t="shared" ca="1" si="24"/>
        <v>#VALUE!</v>
      </c>
      <c r="G70" t="e">
        <f t="shared" ca="1" si="25"/>
        <v>#VALUE!</v>
      </c>
      <c r="H70" t="e">
        <f t="shared" ca="1" si="26"/>
        <v>#VALUE!</v>
      </c>
      <c r="I70" t="e">
        <f t="shared" ca="1" si="27"/>
        <v>#VALUE!</v>
      </c>
      <c r="J70" t="e">
        <f t="shared" ca="1" si="20"/>
        <v>#VALUE!</v>
      </c>
      <c r="K70" t="e">
        <f t="shared" ca="1" si="28"/>
        <v>#VALUE!</v>
      </c>
      <c r="L70" t="e">
        <f t="shared" ca="1" si="29"/>
        <v>#VALUE!</v>
      </c>
      <c r="M70" t="e">
        <f t="shared" ca="1" si="30"/>
        <v>#VALUE!</v>
      </c>
      <c r="N70" t="e">
        <f t="shared" ca="1" si="31"/>
        <v>#VALUE!</v>
      </c>
      <c r="O70" t="e">
        <f t="shared" ca="1" si="32"/>
        <v>#VALUE!</v>
      </c>
      <c r="P70" t="e">
        <f t="shared" ca="1" si="17"/>
        <v>#VALUE!</v>
      </c>
      <c r="Q70" t="e">
        <f t="shared" ca="1" si="33"/>
        <v>#VALUE!</v>
      </c>
      <c r="R70" t="e">
        <f t="shared" ca="1" si="34"/>
        <v>#VALUE!</v>
      </c>
      <c r="S70" t="e">
        <f t="shared" ca="1" si="35"/>
        <v>#VALUE!</v>
      </c>
    </row>
    <row r="71" spans="1:19" x14ac:dyDescent="0.2">
      <c r="A71">
        <v>71</v>
      </c>
      <c r="B71" s="3" t="str">
        <f t="shared" ca="1" si="19"/>
        <v/>
      </c>
      <c r="C71" s="3" t="str">
        <f t="shared" ca="1" si="21"/>
        <v/>
      </c>
      <c r="D71" t="e">
        <f t="shared" ca="1" si="22"/>
        <v>#VALUE!</v>
      </c>
      <c r="E71" t="e">
        <f t="shared" ca="1" si="23"/>
        <v>#VALUE!</v>
      </c>
      <c r="F71" t="e">
        <f t="shared" ca="1" si="24"/>
        <v>#VALUE!</v>
      </c>
      <c r="G71" t="e">
        <f t="shared" ca="1" si="25"/>
        <v>#VALUE!</v>
      </c>
      <c r="H71" t="e">
        <f t="shared" ca="1" si="26"/>
        <v>#VALUE!</v>
      </c>
      <c r="I71" t="e">
        <f t="shared" ca="1" si="27"/>
        <v>#VALUE!</v>
      </c>
      <c r="J71" t="e">
        <f t="shared" ca="1" si="20"/>
        <v>#VALUE!</v>
      </c>
      <c r="K71" t="e">
        <f t="shared" ca="1" si="28"/>
        <v>#VALUE!</v>
      </c>
      <c r="L71" t="e">
        <f t="shared" ca="1" si="29"/>
        <v>#VALUE!</v>
      </c>
      <c r="M71" t="e">
        <f t="shared" ca="1" si="30"/>
        <v>#VALUE!</v>
      </c>
      <c r="N71" t="e">
        <f t="shared" ca="1" si="31"/>
        <v>#VALUE!</v>
      </c>
      <c r="O71" t="e">
        <f t="shared" ca="1" si="32"/>
        <v>#VALUE!</v>
      </c>
      <c r="P71" t="e">
        <f t="shared" ref="P71:P100" ca="1" si="36">IF(A71=$W$1,IF(SIGN(O71)&lt;&gt;SIGN(H70),0,IF(AND(SIGN(H69)&lt;&gt;SIGN(H70),ABS(O71)&gt;ABS(3*H70)),3*H70,O71)),O71)</f>
        <v>#VALUE!</v>
      </c>
      <c r="Q71" t="e">
        <f t="shared" ca="1" si="33"/>
        <v>#VALUE!</v>
      </c>
      <c r="R71" t="e">
        <f t="shared" ca="1" si="34"/>
        <v>#VALUE!</v>
      </c>
      <c r="S71" t="e">
        <f t="shared" ca="1" si="35"/>
        <v>#VALUE!</v>
      </c>
    </row>
    <row r="72" spans="1:19" x14ac:dyDescent="0.2">
      <c r="A72">
        <v>72</v>
      </c>
      <c r="B72" s="3" t="str">
        <f t="shared" ca="1" si="19"/>
        <v/>
      </c>
      <c r="C72" s="3" t="str">
        <f t="shared" ca="1" si="21"/>
        <v/>
      </c>
      <c r="D72" t="e">
        <f t="shared" ca="1" si="22"/>
        <v>#VALUE!</v>
      </c>
      <c r="E72" t="e">
        <f t="shared" ca="1" si="23"/>
        <v>#VALUE!</v>
      </c>
      <c r="F72" t="e">
        <f t="shared" ca="1" si="24"/>
        <v>#VALUE!</v>
      </c>
      <c r="G72" t="e">
        <f t="shared" ca="1" si="25"/>
        <v>#VALUE!</v>
      </c>
      <c r="H72" t="e">
        <f t="shared" ca="1" si="26"/>
        <v>#VALUE!</v>
      </c>
      <c r="I72" t="e">
        <f t="shared" ca="1" si="27"/>
        <v>#VALUE!</v>
      </c>
      <c r="J72" t="e">
        <f t="shared" ca="1" si="20"/>
        <v>#VALUE!</v>
      </c>
      <c r="K72" t="e">
        <f t="shared" ca="1" si="28"/>
        <v>#VALUE!</v>
      </c>
      <c r="L72" t="e">
        <f t="shared" ca="1" si="29"/>
        <v>#VALUE!</v>
      </c>
      <c r="M72" t="e">
        <f t="shared" ca="1" si="30"/>
        <v>#VALUE!</v>
      </c>
      <c r="N72" t="e">
        <f t="shared" ca="1" si="31"/>
        <v>#VALUE!</v>
      </c>
      <c r="O72" t="e">
        <f t="shared" ca="1" si="32"/>
        <v>#VALUE!</v>
      </c>
      <c r="P72" t="e">
        <f t="shared" ca="1" si="36"/>
        <v>#VALUE!</v>
      </c>
      <c r="Q72" t="e">
        <f t="shared" ca="1" si="33"/>
        <v>#VALUE!</v>
      </c>
      <c r="R72" t="e">
        <f t="shared" ca="1" si="34"/>
        <v>#VALUE!</v>
      </c>
      <c r="S72" t="e">
        <f t="shared" ca="1" si="35"/>
        <v>#VALUE!</v>
      </c>
    </row>
    <row r="73" spans="1:19" x14ac:dyDescent="0.2">
      <c r="A73">
        <v>73</v>
      </c>
      <c r="B73" s="3" t="str">
        <f t="shared" ca="1" si="19"/>
        <v/>
      </c>
      <c r="C73" s="3" t="str">
        <f t="shared" ca="1" si="21"/>
        <v/>
      </c>
      <c r="D73" t="e">
        <f t="shared" ca="1" si="22"/>
        <v>#VALUE!</v>
      </c>
      <c r="E73" t="e">
        <f t="shared" ca="1" si="23"/>
        <v>#VALUE!</v>
      </c>
      <c r="F73" t="e">
        <f t="shared" ca="1" si="24"/>
        <v>#VALUE!</v>
      </c>
      <c r="G73" t="e">
        <f t="shared" ca="1" si="25"/>
        <v>#VALUE!</v>
      </c>
      <c r="H73" t="e">
        <f t="shared" ca="1" si="26"/>
        <v>#VALUE!</v>
      </c>
      <c r="I73" t="e">
        <f t="shared" ca="1" si="27"/>
        <v>#VALUE!</v>
      </c>
      <c r="J73" t="e">
        <f t="shared" ca="1" si="20"/>
        <v>#VALUE!</v>
      </c>
      <c r="K73" t="e">
        <f t="shared" ca="1" si="28"/>
        <v>#VALUE!</v>
      </c>
      <c r="L73" t="e">
        <f t="shared" ca="1" si="29"/>
        <v>#VALUE!</v>
      </c>
      <c r="M73" t="e">
        <f t="shared" ca="1" si="30"/>
        <v>#VALUE!</v>
      </c>
      <c r="N73" t="e">
        <f t="shared" ca="1" si="31"/>
        <v>#VALUE!</v>
      </c>
      <c r="O73" t="e">
        <f t="shared" ca="1" si="32"/>
        <v>#VALUE!</v>
      </c>
      <c r="P73" t="e">
        <f t="shared" ca="1" si="36"/>
        <v>#VALUE!</v>
      </c>
      <c r="Q73" t="e">
        <f t="shared" ca="1" si="33"/>
        <v>#VALUE!</v>
      </c>
      <c r="R73" t="e">
        <f t="shared" ca="1" si="34"/>
        <v>#VALUE!</v>
      </c>
      <c r="S73" t="e">
        <f t="shared" ca="1" si="35"/>
        <v>#VALUE!</v>
      </c>
    </row>
    <row r="74" spans="1:19" x14ac:dyDescent="0.2">
      <c r="A74">
        <v>74</v>
      </c>
      <c r="B74" s="3" t="str">
        <f t="shared" ca="1" si="19"/>
        <v/>
      </c>
      <c r="C74" s="3" t="str">
        <f t="shared" ca="1" si="21"/>
        <v/>
      </c>
      <c r="D74" t="e">
        <f t="shared" ca="1" si="22"/>
        <v>#VALUE!</v>
      </c>
      <c r="E74" t="e">
        <f t="shared" ca="1" si="23"/>
        <v>#VALUE!</v>
      </c>
      <c r="F74" t="e">
        <f t="shared" ca="1" si="24"/>
        <v>#VALUE!</v>
      </c>
      <c r="G74" t="e">
        <f t="shared" ca="1" si="25"/>
        <v>#VALUE!</v>
      </c>
      <c r="H74" t="e">
        <f t="shared" ca="1" si="26"/>
        <v>#VALUE!</v>
      </c>
      <c r="I74" t="e">
        <f t="shared" ca="1" si="27"/>
        <v>#VALUE!</v>
      </c>
      <c r="J74" t="e">
        <f t="shared" ca="1" si="20"/>
        <v>#VALUE!</v>
      </c>
      <c r="K74" t="e">
        <f t="shared" ca="1" si="28"/>
        <v>#VALUE!</v>
      </c>
      <c r="L74" t="e">
        <f t="shared" ca="1" si="29"/>
        <v>#VALUE!</v>
      </c>
      <c r="M74" t="e">
        <f t="shared" ca="1" si="30"/>
        <v>#VALUE!</v>
      </c>
      <c r="N74" t="e">
        <f t="shared" ca="1" si="31"/>
        <v>#VALUE!</v>
      </c>
      <c r="O74" t="e">
        <f t="shared" ca="1" si="32"/>
        <v>#VALUE!</v>
      </c>
      <c r="P74" t="e">
        <f t="shared" ca="1" si="36"/>
        <v>#VALUE!</v>
      </c>
      <c r="Q74" t="e">
        <f t="shared" ca="1" si="33"/>
        <v>#VALUE!</v>
      </c>
      <c r="R74" t="e">
        <f t="shared" ca="1" si="34"/>
        <v>#VALUE!</v>
      </c>
      <c r="S74" t="e">
        <f t="shared" ca="1" si="35"/>
        <v>#VALUE!</v>
      </c>
    </row>
    <row r="75" spans="1:19" x14ac:dyDescent="0.2">
      <c r="A75">
        <v>75</v>
      </c>
      <c r="B75" s="3" t="str">
        <f t="shared" ca="1" si="19"/>
        <v/>
      </c>
      <c r="C75" s="3" t="str">
        <f t="shared" ca="1" si="21"/>
        <v/>
      </c>
      <c r="D75" t="e">
        <f t="shared" ca="1" si="22"/>
        <v>#VALUE!</v>
      </c>
      <c r="E75" t="e">
        <f t="shared" ca="1" si="23"/>
        <v>#VALUE!</v>
      </c>
      <c r="F75" t="e">
        <f t="shared" ca="1" si="24"/>
        <v>#VALUE!</v>
      </c>
      <c r="G75" t="e">
        <f t="shared" ca="1" si="25"/>
        <v>#VALUE!</v>
      </c>
      <c r="H75" t="e">
        <f t="shared" ca="1" si="26"/>
        <v>#VALUE!</v>
      </c>
      <c r="I75" t="e">
        <f t="shared" ca="1" si="27"/>
        <v>#VALUE!</v>
      </c>
      <c r="J75" t="e">
        <f t="shared" ca="1" si="20"/>
        <v>#VALUE!</v>
      </c>
      <c r="K75" t="e">
        <f t="shared" ca="1" si="28"/>
        <v>#VALUE!</v>
      </c>
      <c r="L75" t="e">
        <f t="shared" ca="1" si="29"/>
        <v>#VALUE!</v>
      </c>
      <c r="M75" t="e">
        <f t="shared" ca="1" si="30"/>
        <v>#VALUE!</v>
      </c>
      <c r="N75" t="e">
        <f t="shared" ca="1" si="31"/>
        <v>#VALUE!</v>
      </c>
      <c r="O75" t="e">
        <f t="shared" ca="1" si="32"/>
        <v>#VALUE!</v>
      </c>
      <c r="P75" t="e">
        <f t="shared" ca="1" si="36"/>
        <v>#VALUE!</v>
      </c>
      <c r="Q75" t="e">
        <f t="shared" ca="1" si="33"/>
        <v>#VALUE!</v>
      </c>
      <c r="R75" t="e">
        <f t="shared" ca="1" si="34"/>
        <v>#VALUE!</v>
      </c>
      <c r="S75" t="e">
        <f t="shared" ca="1" si="35"/>
        <v>#VALUE!</v>
      </c>
    </row>
    <row r="76" spans="1:19" x14ac:dyDescent="0.2">
      <c r="A76">
        <v>76</v>
      </c>
      <c r="B76" s="3" t="str">
        <f t="shared" ca="1" si="19"/>
        <v/>
      </c>
      <c r="C76" s="3" t="str">
        <f t="shared" ca="1" si="21"/>
        <v/>
      </c>
      <c r="D76" t="e">
        <f t="shared" ca="1" si="22"/>
        <v>#VALUE!</v>
      </c>
      <c r="E76" t="e">
        <f t="shared" ca="1" si="23"/>
        <v>#VALUE!</v>
      </c>
      <c r="F76" t="e">
        <f t="shared" ca="1" si="24"/>
        <v>#VALUE!</v>
      </c>
      <c r="G76" t="e">
        <f t="shared" ca="1" si="25"/>
        <v>#VALUE!</v>
      </c>
      <c r="H76" t="e">
        <f t="shared" ca="1" si="26"/>
        <v>#VALUE!</v>
      </c>
      <c r="I76" t="e">
        <f t="shared" ca="1" si="27"/>
        <v>#VALUE!</v>
      </c>
      <c r="J76" t="e">
        <f t="shared" ca="1" si="20"/>
        <v>#VALUE!</v>
      </c>
      <c r="K76" t="e">
        <f t="shared" ca="1" si="28"/>
        <v>#VALUE!</v>
      </c>
      <c r="L76" t="e">
        <f t="shared" ca="1" si="29"/>
        <v>#VALUE!</v>
      </c>
      <c r="M76" t="e">
        <f t="shared" ca="1" si="30"/>
        <v>#VALUE!</v>
      </c>
      <c r="N76" t="e">
        <f t="shared" ca="1" si="31"/>
        <v>#VALUE!</v>
      </c>
      <c r="O76" t="e">
        <f t="shared" ca="1" si="32"/>
        <v>#VALUE!</v>
      </c>
      <c r="P76" t="e">
        <f t="shared" ca="1" si="36"/>
        <v>#VALUE!</v>
      </c>
      <c r="Q76" t="e">
        <f t="shared" ca="1" si="33"/>
        <v>#VALUE!</v>
      </c>
      <c r="R76" t="e">
        <f t="shared" ca="1" si="34"/>
        <v>#VALUE!</v>
      </c>
      <c r="S76" t="e">
        <f t="shared" ca="1" si="35"/>
        <v>#VALUE!</v>
      </c>
    </row>
    <row r="77" spans="1:19" x14ac:dyDescent="0.2">
      <c r="A77">
        <v>77</v>
      </c>
      <c r="B77" s="3" t="str">
        <f t="shared" ca="1" si="19"/>
        <v/>
      </c>
      <c r="C77" s="3" t="str">
        <f t="shared" ca="1" si="21"/>
        <v/>
      </c>
      <c r="D77" t="e">
        <f t="shared" ca="1" si="22"/>
        <v>#VALUE!</v>
      </c>
      <c r="E77" t="e">
        <f t="shared" ca="1" si="23"/>
        <v>#VALUE!</v>
      </c>
      <c r="F77" t="e">
        <f t="shared" ca="1" si="24"/>
        <v>#VALUE!</v>
      </c>
      <c r="G77" t="e">
        <f t="shared" ca="1" si="25"/>
        <v>#VALUE!</v>
      </c>
      <c r="H77" t="e">
        <f t="shared" ca="1" si="26"/>
        <v>#VALUE!</v>
      </c>
      <c r="I77" t="e">
        <f t="shared" ca="1" si="27"/>
        <v>#VALUE!</v>
      </c>
      <c r="J77" t="e">
        <f t="shared" ca="1" si="20"/>
        <v>#VALUE!</v>
      </c>
      <c r="K77" t="e">
        <f t="shared" ca="1" si="28"/>
        <v>#VALUE!</v>
      </c>
      <c r="L77" t="e">
        <f t="shared" ca="1" si="29"/>
        <v>#VALUE!</v>
      </c>
      <c r="M77" t="e">
        <f t="shared" ca="1" si="30"/>
        <v>#VALUE!</v>
      </c>
      <c r="N77" t="e">
        <f t="shared" ca="1" si="31"/>
        <v>#VALUE!</v>
      </c>
      <c r="O77" t="e">
        <f t="shared" ca="1" si="32"/>
        <v>#VALUE!</v>
      </c>
      <c r="P77" t="e">
        <f t="shared" ca="1" si="36"/>
        <v>#VALUE!</v>
      </c>
      <c r="Q77" t="e">
        <f t="shared" ca="1" si="33"/>
        <v>#VALUE!</v>
      </c>
      <c r="R77" t="e">
        <f t="shared" ca="1" si="34"/>
        <v>#VALUE!</v>
      </c>
      <c r="S77" t="e">
        <f t="shared" ca="1" si="35"/>
        <v>#VALUE!</v>
      </c>
    </row>
    <row r="78" spans="1:19" x14ac:dyDescent="0.2">
      <c r="A78">
        <v>78</v>
      </c>
      <c r="B78" s="3" t="str">
        <f t="shared" ca="1" si="19"/>
        <v/>
      </c>
      <c r="C78" s="3" t="str">
        <f t="shared" ca="1" si="21"/>
        <v/>
      </c>
      <c r="D78" t="e">
        <f t="shared" ca="1" si="22"/>
        <v>#VALUE!</v>
      </c>
      <c r="E78" t="e">
        <f t="shared" ca="1" si="23"/>
        <v>#VALUE!</v>
      </c>
      <c r="F78" t="e">
        <f t="shared" ca="1" si="24"/>
        <v>#VALUE!</v>
      </c>
      <c r="G78" t="e">
        <f t="shared" ca="1" si="25"/>
        <v>#VALUE!</v>
      </c>
      <c r="H78" t="e">
        <f t="shared" ca="1" si="26"/>
        <v>#VALUE!</v>
      </c>
      <c r="I78" t="e">
        <f t="shared" ca="1" si="27"/>
        <v>#VALUE!</v>
      </c>
      <c r="J78" t="e">
        <f t="shared" ca="1" si="20"/>
        <v>#VALUE!</v>
      </c>
      <c r="K78" t="e">
        <f t="shared" ca="1" si="28"/>
        <v>#VALUE!</v>
      </c>
      <c r="L78" t="e">
        <f t="shared" ca="1" si="29"/>
        <v>#VALUE!</v>
      </c>
      <c r="M78" t="e">
        <f t="shared" ca="1" si="30"/>
        <v>#VALUE!</v>
      </c>
      <c r="N78" t="e">
        <f t="shared" ca="1" si="31"/>
        <v>#VALUE!</v>
      </c>
      <c r="O78" t="e">
        <f t="shared" ca="1" si="32"/>
        <v>#VALUE!</v>
      </c>
      <c r="P78" t="e">
        <f t="shared" ca="1" si="36"/>
        <v>#VALUE!</v>
      </c>
      <c r="Q78" t="e">
        <f t="shared" ca="1" si="33"/>
        <v>#VALUE!</v>
      </c>
      <c r="R78" t="e">
        <f t="shared" ca="1" si="34"/>
        <v>#VALUE!</v>
      </c>
      <c r="S78" t="e">
        <f t="shared" ca="1" si="35"/>
        <v>#VALUE!</v>
      </c>
    </row>
    <row r="79" spans="1:19" x14ac:dyDescent="0.2">
      <c r="A79">
        <v>79</v>
      </c>
      <c r="B79" s="3" t="str">
        <f t="shared" ca="1" si="19"/>
        <v/>
      </c>
      <c r="C79" s="3" t="str">
        <f t="shared" ca="1" si="21"/>
        <v/>
      </c>
      <c r="D79" t="e">
        <f t="shared" ca="1" si="22"/>
        <v>#VALUE!</v>
      </c>
      <c r="E79" t="e">
        <f t="shared" ca="1" si="23"/>
        <v>#VALUE!</v>
      </c>
      <c r="F79" t="e">
        <f t="shared" ca="1" si="24"/>
        <v>#VALUE!</v>
      </c>
      <c r="G79" t="e">
        <f t="shared" ca="1" si="25"/>
        <v>#VALUE!</v>
      </c>
      <c r="H79" t="e">
        <f t="shared" ca="1" si="26"/>
        <v>#VALUE!</v>
      </c>
      <c r="I79" t="e">
        <f t="shared" ca="1" si="27"/>
        <v>#VALUE!</v>
      </c>
      <c r="J79" t="e">
        <f t="shared" ca="1" si="20"/>
        <v>#VALUE!</v>
      </c>
      <c r="K79" t="e">
        <f t="shared" ca="1" si="28"/>
        <v>#VALUE!</v>
      </c>
      <c r="L79" t="e">
        <f t="shared" ca="1" si="29"/>
        <v>#VALUE!</v>
      </c>
      <c r="M79" t="e">
        <f t="shared" ca="1" si="30"/>
        <v>#VALUE!</v>
      </c>
      <c r="N79" t="e">
        <f t="shared" ca="1" si="31"/>
        <v>#VALUE!</v>
      </c>
      <c r="O79" t="e">
        <f t="shared" ca="1" si="32"/>
        <v>#VALUE!</v>
      </c>
      <c r="P79" t="e">
        <f t="shared" ca="1" si="36"/>
        <v>#VALUE!</v>
      </c>
      <c r="Q79" t="e">
        <f t="shared" ca="1" si="33"/>
        <v>#VALUE!</v>
      </c>
      <c r="R79" t="e">
        <f t="shared" ca="1" si="34"/>
        <v>#VALUE!</v>
      </c>
      <c r="S79" t="e">
        <f t="shared" ca="1" si="35"/>
        <v>#VALUE!</v>
      </c>
    </row>
    <row r="80" spans="1:19" x14ac:dyDescent="0.2">
      <c r="A80">
        <v>80</v>
      </c>
      <c r="B80" s="3" t="str">
        <f t="shared" ca="1" si="19"/>
        <v/>
      </c>
      <c r="C80" s="3" t="str">
        <f t="shared" ca="1" si="21"/>
        <v/>
      </c>
      <c r="D80" t="e">
        <f t="shared" ca="1" si="22"/>
        <v>#VALUE!</v>
      </c>
      <c r="E80" t="e">
        <f t="shared" ca="1" si="23"/>
        <v>#VALUE!</v>
      </c>
      <c r="F80" t="e">
        <f t="shared" ca="1" si="24"/>
        <v>#VALUE!</v>
      </c>
      <c r="G80" t="e">
        <f t="shared" ca="1" si="25"/>
        <v>#VALUE!</v>
      </c>
      <c r="H80" t="e">
        <f t="shared" ca="1" si="26"/>
        <v>#VALUE!</v>
      </c>
      <c r="I80" t="e">
        <f t="shared" ca="1" si="27"/>
        <v>#VALUE!</v>
      </c>
      <c r="J80" t="e">
        <f t="shared" ca="1" si="20"/>
        <v>#VALUE!</v>
      </c>
      <c r="K80" t="e">
        <f t="shared" ca="1" si="28"/>
        <v>#VALUE!</v>
      </c>
      <c r="L80" t="e">
        <f t="shared" ca="1" si="29"/>
        <v>#VALUE!</v>
      </c>
      <c r="M80" t="e">
        <f t="shared" ca="1" si="30"/>
        <v>#VALUE!</v>
      </c>
      <c r="N80" t="e">
        <f t="shared" ca="1" si="31"/>
        <v>#VALUE!</v>
      </c>
      <c r="O80" t="e">
        <f t="shared" ca="1" si="32"/>
        <v>#VALUE!</v>
      </c>
      <c r="P80" t="e">
        <f t="shared" ca="1" si="36"/>
        <v>#VALUE!</v>
      </c>
      <c r="Q80" t="e">
        <f t="shared" ca="1" si="33"/>
        <v>#VALUE!</v>
      </c>
      <c r="R80" t="e">
        <f t="shared" ca="1" si="34"/>
        <v>#VALUE!</v>
      </c>
      <c r="S80" t="e">
        <f t="shared" ca="1" si="35"/>
        <v>#VALUE!</v>
      </c>
    </row>
    <row r="81" spans="1:19" x14ac:dyDescent="0.2">
      <c r="A81">
        <v>81</v>
      </c>
      <c r="B81" s="3" t="str">
        <f t="shared" ca="1" si="19"/>
        <v/>
      </c>
      <c r="C81" s="3" t="str">
        <f t="shared" ca="1" si="21"/>
        <v/>
      </c>
      <c r="D81" t="e">
        <f t="shared" ca="1" si="22"/>
        <v>#VALUE!</v>
      </c>
      <c r="E81" t="e">
        <f t="shared" ca="1" si="23"/>
        <v>#VALUE!</v>
      </c>
      <c r="F81" t="e">
        <f t="shared" ca="1" si="24"/>
        <v>#VALUE!</v>
      </c>
      <c r="G81" t="e">
        <f t="shared" ca="1" si="25"/>
        <v>#VALUE!</v>
      </c>
      <c r="H81" t="e">
        <f t="shared" ca="1" si="26"/>
        <v>#VALUE!</v>
      </c>
      <c r="I81" t="e">
        <f t="shared" ca="1" si="27"/>
        <v>#VALUE!</v>
      </c>
      <c r="J81" t="e">
        <f t="shared" ca="1" si="20"/>
        <v>#VALUE!</v>
      </c>
      <c r="K81" t="e">
        <f t="shared" ca="1" si="28"/>
        <v>#VALUE!</v>
      </c>
      <c r="L81" t="e">
        <f t="shared" ca="1" si="29"/>
        <v>#VALUE!</v>
      </c>
      <c r="M81" t="e">
        <f t="shared" ca="1" si="30"/>
        <v>#VALUE!</v>
      </c>
      <c r="N81" t="e">
        <f t="shared" ca="1" si="31"/>
        <v>#VALUE!</v>
      </c>
      <c r="O81" t="e">
        <f t="shared" ca="1" si="32"/>
        <v>#VALUE!</v>
      </c>
      <c r="P81" t="e">
        <f t="shared" ca="1" si="36"/>
        <v>#VALUE!</v>
      </c>
      <c r="Q81" t="e">
        <f t="shared" ca="1" si="33"/>
        <v>#VALUE!</v>
      </c>
      <c r="R81" t="e">
        <f t="shared" ca="1" si="34"/>
        <v>#VALUE!</v>
      </c>
      <c r="S81" t="e">
        <f t="shared" ca="1" si="35"/>
        <v>#VALUE!</v>
      </c>
    </row>
    <row r="82" spans="1:19" x14ac:dyDescent="0.2">
      <c r="A82">
        <v>82</v>
      </c>
      <c r="B82" s="3" t="str">
        <f t="shared" ca="1" si="19"/>
        <v/>
      </c>
      <c r="C82" s="3" t="str">
        <f t="shared" ca="1" si="21"/>
        <v/>
      </c>
      <c r="D82" t="e">
        <f t="shared" ca="1" si="22"/>
        <v>#VALUE!</v>
      </c>
      <c r="E82" t="e">
        <f t="shared" ca="1" si="23"/>
        <v>#VALUE!</v>
      </c>
      <c r="F82" t="e">
        <f t="shared" ca="1" si="24"/>
        <v>#VALUE!</v>
      </c>
      <c r="G82" t="e">
        <f t="shared" ca="1" si="25"/>
        <v>#VALUE!</v>
      </c>
      <c r="H82" t="e">
        <f t="shared" ca="1" si="26"/>
        <v>#VALUE!</v>
      </c>
      <c r="I82" t="e">
        <f t="shared" ca="1" si="27"/>
        <v>#VALUE!</v>
      </c>
      <c r="J82" t="e">
        <f t="shared" ca="1" si="20"/>
        <v>#VALUE!</v>
      </c>
      <c r="K82" t="e">
        <f t="shared" ca="1" si="28"/>
        <v>#VALUE!</v>
      </c>
      <c r="L82" t="e">
        <f t="shared" ca="1" si="29"/>
        <v>#VALUE!</v>
      </c>
      <c r="M82" t="e">
        <f t="shared" ca="1" si="30"/>
        <v>#VALUE!</v>
      </c>
      <c r="N82" t="e">
        <f t="shared" ca="1" si="31"/>
        <v>#VALUE!</v>
      </c>
      <c r="O82" t="e">
        <f t="shared" ca="1" si="32"/>
        <v>#VALUE!</v>
      </c>
      <c r="P82" t="e">
        <f t="shared" ca="1" si="36"/>
        <v>#VALUE!</v>
      </c>
      <c r="Q82" t="e">
        <f t="shared" ca="1" si="33"/>
        <v>#VALUE!</v>
      </c>
      <c r="R82" t="e">
        <f t="shared" ca="1" si="34"/>
        <v>#VALUE!</v>
      </c>
      <c r="S82" t="e">
        <f t="shared" ca="1" si="35"/>
        <v>#VALUE!</v>
      </c>
    </row>
    <row r="83" spans="1:19" x14ac:dyDescent="0.2">
      <c r="A83">
        <v>83</v>
      </c>
      <c r="B83" s="3" t="str">
        <f t="shared" ca="1" si="19"/>
        <v/>
      </c>
      <c r="C83" s="3" t="str">
        <f t="shared" ca="1" si="21"/>
        <v/>
      </c>
      <c r="D83" t="e">
        <f t="shared" ca="1" si="22"/>
        <v>#VALUE!</v>
      </c>
      <c r="E83" t="e">
        <f t="shared" ca="1" si="23"/>
        <v>#VALUE!</v>
      </c>
      <c r="F83" t="e">
        <f t="shared" ca="1" si="24"/>
        <v>#VALUE!</v>
      </c>
      <c r="G83" t="e">
        <f t="shared" ca="1" si="25"/>
        <v>#VALUE!</v>
      </c>
      <c r="H83" t="e">
        <f t="shared" ca="1" si="26"/>
        <v>#VALUE!</v>
      </c>
      <c r="I83" t="e">
        <f t="shared" ca="1" si="27"/>
        <v>#VALUE!</v>
      </c>
      <c r="J83" t="e">
        <f t="shared" ca="1" si="20"/>
        <v>#VALUE!</v>
      </c>
      <c r="K83" t="e">
        <f t="shared" ca="1" si="28"/>
        <v>#VALUE!</v>
      </c>
      <c r="L83" t="e">
        <f t="shared" ca="1" si="29"/>
        <v>#VALUE!</v>
      </c>
      <c r="M83" t="e">
        <f t="shared" ca="1" si="30"/>
        <v>#VALUE!</v>
      </c>
      <c r="N83" t="e">
        <f t="shared" ca="1" si="31"/>
        <v>#VALUE!</v>
      </c>
      <c r="O83" t="e">
        <f t="shared" ca="1" si="32"/>
        <v>#VALUE!</v>
      </c>
      <c r="P83" t="e">
        <f t="shared" ca="1" si="36"/>
        <v>#VALUE!</v>
      </c>
      <c r="Q83" t="e">
        <f t="shared" ca="1" si="33"/>
        <v>#VALUE!</v>
      </c>
      <c r="R83" t="e">
        <f t="shared" ca="1" si="34"/>
        <v>#VALUE!</v>
      </c>
      <c r="S83" t="e">
        <f t="shared" ca="1" si="35"/>
        <v>#VALUE!</v>
      </c>
    </row>
    <row r="84" spans="1:19" x14ac:dyDescent="0.2">
      <c r="A84">
        <v>84</v>
      </c>
      <c r="B84" s="3" t="str">
        <f t="shared" ca="1" si="19"/>
        <v/>
      </c>
      <c r="C84" s="3" t="str">
        <f t="shared" ca="1" si="21"/>
        <v/>
      </c>
      <c r="D84" t="e">
        <f t="shared" ca="1" si="22"/>
        <v>#VALUE!</v>
      </c>
      <c r="E84" t="e">
        <f t="shared" ca="1" si="23"/>
        <v>#VALUE!</v>
      </c>
      <c r="F84" t="e">
        <f t="shared" ca="1" si="24"/>
        <v>#VALUE!</v>
      </c>
      <c r="G84" t="e">
        <f t="shared" ca="1" si="25"/>
        <v>#VALUE!</v>
      </c>
      <c r="H84" t="e">
        <f t="shared" ca="1" si="26"/>
        <v>#VALUE!</v>
      </c>
      <c r="I84" t="e">
        <f t="shared" ca="1" si="27"/>
        <v>#VALUE!</v>
      </c>
      <c r="J84" t="e">
        <f t="shared" ca="1" si="20"/>
        <v>#VALUE!</v>
      </c>
      <c r="K84" t="e">
        <f t="shared" ca="1" si="28"/>
        <v>#VALUE!</v>
      </c>
      <c r="L84" t="e">
        <f t="shared" ca="1" si="29"/>
        <v>#VALUE!</v>
      </c>
      <c r="M84" t="e">
        <f t="shared" ca="1" si="30"/>
        <v>#VALUE!</v>
      </c>
      <c r="N84" t="e">
        <f t="shared" ca="1" si="31"/>
        <v>#VALUE!</v>
      </c>
      <c r="O84" t="e">
        <f t="shared" ca="1" si="32"/>
        <v>#VALUE!</v>
      </c>
      <c r="P84" t="e">
        <f t="shared" ca="1" si="36"/>
        <v>#VALUE!</v>
      </c>
      <c r="Q84" t="e">
        <f t="shared" ca="1" si="33"/>
        <v>#VALUE!</v>
      </c>
      <c r="R84" t="e">
        <f t="shared" ca="1" si="34"/>
        <v>#VALUE!</v>
      </c>
      <c r="S84" t="e">
        <f t="shared" ca="1" si="35"/>
        <v>#VALUE!</v>
      </c>
    </row>
    <row r="85" spans="1:19" x14ac:dyDescent="0.2">
      <c r="A85">
        <v>85</v>
      </c>
      <c r="B85" s="3" t="str">
        <f t="shared" ca="1" si="19"/>
        <v/>
      </c>
      <c r="C85" s="3" t="str">
        <f t="shared" ca="1" si="21"/>
        <v/>
      </c>
      <c r="D85" t="e">
        <f t="shared" ca="1" si="22"/>
        <v>#VALUE!</v>
      </c>
      <c r="E85" t="e">
        <f t="shared" ca="1" si="23"/>
        <v>#VALUE!</v>
      </c>
      <c r="F85" t="e">
        <f t="shared" ca="1" si="24"/>
        <v>#VALUE!</v>
      </c>
      <c r="G85" t="e">
        <f t="shared" ca="1" si="25"/>
        <v>#VALUE!</v>
      </c>
      <c r="H85" t="e">
        <f t="shared" ca="1" si="26"/>
        <v>#VALUE!</v>
      </c>
      <c r="I85" t="e">
        <f t="shared" ca="1" si="27"/>
        <v>#VALUE!</v>
      </c>
      <c r="J85" t="e">
        <f t="shared" ca="1" si="20"/>
        <v>#VALUE!</v>
      </c>
      <c r="K85" t="e">
        <f t="shared" ca="1" si="28"/>
        <v>#VALUE!</v>
      </c>
      <c r="L85" t="e">
        <f t="shared" ca="1" si="29"/>
        <v>#VALUE!</v>
      </c>
      <c r="M85" t="e">
        <f t="shared" ca="1" si="30"/>
        <v>#VALUE!</v>
      </c>
      <c r="N85" t="e">
        <f t="shared" ca="1" si="31"/>
        <v>#VALUE!</v>
      </c>
      <c r="O85" t="e">
        <f t="shared" ca="1" si="32"/>
        <v>#VALUE!</v>
      </c>
      <c r="P85" t="e">
        <f t="shared" ca="1" si="36"/>
        <v>#VALUE!</v>
      </c>
      <c r="Q85" t="e">
        <f t="shared" ca="1" si="33"/>
        <v>#VALUE!</v>
      </c>
      <c r="R85" t="e">
        <f t="shared" ca="1" si="34"/>
        <v>#VALUE!</v>
      </c>
      <c r="S85" t="e">
        <f t="shared" ca="1" si="35"/>
        <v>#VALUE!</v>
      </c>
    </row>
    <row r="86" spans="1:19" x14ac:dyDescent="0.2">
      <c r="A86">
        <v>86</v>
      </c>
      <c r="B86" s="3" t="str">
        <f t="shared" ca="1" si="19"/>
        <v/>
      </c>
      <c r="C86" s="3" t="str">
        <f t="shared" ca="1" si="21"/>
        <v/>
      </c>
      <c r="D86" t="e">
        <f t="shared" ca="1" si="22"/>
        <v>#VALUE!</v>
      </c>
      <c r="E86" t="e">
        <f t="shared" ca="1" si="23"/>
        <v>#VALUE!</v>
      </c>
      <c r="F86" t="e">
        <f t="shared" ca="1" si="24"/>
        <v>#VALUE!</v>
      </c>
      <c r="G86" t="e">
        <f t="shared" ca="1" si="25"/>
        <v>#VALUE!</v>
      </c>
      <c r="H86" t="e">
        <f t="shared" ca="1" si="26"/>
        <v>#VALUE!</v>
      </c>
      <c r="I86" t="e">
        <f t="shared" ca="1" si="27"/>
        <v>#VALUE!</v>
      </c>
      <c r="J86" t="e">
        <f t="shared" ca="1" si="20"/>
        <v>#VALUE!</v>
      </c>
      <c r="K86" t="e">
        <f t="shared" ca="1" si="28"/>
        <v>#VALUE!</v>
      </c>
      <c r="L86" t="e">
        <f t="shared" ca="1" si="29"/>
        <v>#VALUE!</v>
      </c>
      <c r="M86" t="e">
        <f t="shared" ca="1" si="30"/>
        <v>#VALUE!</v>
      </c>
      <c r="N86" t="e">
        <f t="shared" ca="1" si="31"/>
        <v>#VALUE!</v>
      </c>
      <c r="O86" t="e">
        <f t="shared" ca="1" si="32"/>
        <v>#VALUE!</v>
      </c>
      <c r="P86" t="e">
        <f t="shared" ca="1" si="36"/>
        <v>#VALUE!</v>
      </c>
      <c r="Q86" t="e">
        <f t="shared" ca="1" si="33"/>
        <v>#VALUE!</v>
      </c>
      <c r="R86" t="e">
        <f t="shared" ca="1" si="34"/>
        <v>#VALUE!</v>
      </c>
      <c r="S86" t="e">
        <f t="shared" ca="1" si="35"/>
        <v>#VALUE!</v>
      </c>
    </row>
    <row r="87" spans="1:19" x14ac:dyDescent="0.2">
      <c r="A87">
        <v>87</v>
      </c>
      <c r="B87" s="3" t="str">
        <f t="shared" ca="1" si="19"/>
        <v/>
      </c>
      <c r="C87" s="3" t="str">
        <f t="shared" ca="1" si="21"/>
        <v/>
      </c>
      <c r="D87" t="e">
        <f t="shared" ca="1" si="22"/>
        <v>#VALUE!</v>
      </c>
      <c r="E87" t="e">
        <f t="shared" ca="1" si="23"/>
        <v>#VALUE!</v>
      </c>
      <c r="F87" t="e">
        <f t="shared" ca="1" si="24"/>
        <v>#VALUE!</v>
      </c>
      <c r="G87" t="e">
        <f t="shared" ca="1" si="25"/>
        <v>#VALUE!</v>
      </c>
      <c r="H87" t="e">
        <f t="shared" ca="1" si="26"/>
        <v>#VALUE!</v>
      </c>
      <c r="I87" t="e">
        <f t="shared" ca="1" si="27"/>
        <v>#VALUE!</v>
      </c>
      <c r="J87" t="e">
        <f t="shared" ca="1" si="20"/>
        <v>#VALUE!</v>
      </c>
      <c r="K87" t="e">
        <f t="shared" ca="1" si="28"/>
        <v>#VALUE!</v>
      </c>
      <c r="L87" t="e">
        <f t="shared" ca="1" si="29"/>
        <v>#VALUE!</v>
      </c>
      <c r="M87" t="e">
        <f t="shared" ca="1" si="30"/>
        <v>#VALUE!</v>
      </c>
      <c r="N87" t="e">
        <f t="shared" ca="1" si="31"/>
        <v>#VALUE!</v>
      </c>
      <c r="O87" t="e">
        <f t="shared" ca="1" si="32"/>
        <v>#VALUE!</v>
      </c>
      <c r="P87" t="e">
        <f t="shared" ca="1" si="36"/>
        <v>#VALUE!</v>
      </c>
      <c r="Q87" t="e">
        <f t="shared" ca="1" si="33"/>
        <v>#VALUE!</v>
      </c>
      <c r="R87" t="e">
        <f t="shared" ca="1" si="34"/>
        <v>#VALUE!</v>
      </c>
      <c r="S87" t="e">
        <f t="shared" ca="1" si="35"/>
        <v>#VALUE!</v>
      </c>
    </row>
    <row r="88" spans="1:19" x14ac:dyDescent="0.2">
      <c r="A88">
        <v>88</v>
      </c>
      <c r="B88" s="3" t="str">
        <f t="shared" ca="1" si="19"/>
        <v/>
      </c>
      <c r="C88" s="3" t="str">
        <f t="shared" ca="1" si="21"/>
        <v/>
      </c>
      <c r="D88" t="e">
        <f t="shared" ca="1" si="22"/>
        <v>#VALUE!</v>
      </c>
      <c r="E88" t="e">
        <f t="shared" ca="1" si="23"/>
        <v>#VALUE!</v>
      </c>
      <c r="F88" t="e">
        <f t="shared" ca="1" si="24"/>
        <v>#VALUE!</v>
      </c>
      <c r="G88" t="e">
        <f t="shared" ca="1" si="25"/>
        <v>#VALUE!</v>
      </c>
      <c r="H88" t="e">
        <f t="shared" ca="1" si="26"/>
        <v>#VALUE!</v>
      </c>
      <c r="I88" t="e">
        <f t="shared" ca="1" si="27"/>
        <v>#VALUE!</v>
      </c>
      <c r="J88" t="e">
        <f t="shared" ca="1" si="20"/>
        <v>#VALUE!</v>
      </c>
      <c r="K88" t="e">
        <f t="shared" ca="1" si="28"/>
        <v>#VALUE!</v>
      </c>
      <c r="L88" t="e">
        <f t="shared" ca="1" si="29"/>
        <v>#VALUE!</v>
      </c>
      <c r="M88" t="e">
        <f t="shared" ca="1" si="30"/>
        <v>#VALUE!</v>
      </c>
      <c r="N88" t="e">
        <f t="shared" ca="1" si="31"/>
        <v>#VALUE!</v>
      </c>
      <c r="O88" t="e">
        <f t="shared" ca="1" si="32"/>
        <v>#VALUE!</v>
      </c>
      <c r="P88" t="e">
        <f t="shared" ca="1" si="36"/>
        <v>#VALUE!</v>
      </c>
      <c r="Q88" t="e">
        <f t="shared" ca="1" si="33"/>
        <v>#VALUE!</v>
      </c>
      <c r="R88" t="e">
        <f t="shared" ca="1" si="34"/>
        <v>#VALUE!</v>
      </c>
      <c r="S88" t="e">
        <f t="shared" ca="1" si="35"/>
        <v>#VALUE!</v>
      </c>
    </row>
    <row r="89" spans="1:19" x14ac:dyDescent="0.2">
      <c r="A89">
        <v>89</v>
      </c>
      <c r="B89" s="3" t="str">
        <f t="shared" ca="1" si="19"/>
        <v/>
      </c>
      <c r="C89" s="3" t="str">
        <f t="shared" ca="1" si="21"/>
        <v/>
      </c>
      <c r="D89" t="e">
        <f t="shared" ca="1" si="22"/>
        <v>#VALUE!</v>
      </c>
      <c r="E89" t="e">
        <f t="shared" ca="1" si="23"/>
        <v>#VALUE!</v>
      </c>
      <c r="F89" t="e">
        <f t="shared" ca="1" si="24"/>
        <v>#VALUE!</v>
      </c>
      <c r="G89" t="e">
        <f t="shared" ca="1" si="25"/>
        <v>#VALUE!</v>
      </c>
      <c r="H89" t="e">
        <f t="shared" ca="1" si="26"/>
        <v>#VALUE!</v>
      </c>
      <c r="I89" t="e">
        <f t="shared" ca="1" si="27"/>
        <v>#VALUE!</v>
      </c>
      <c r="J89" t="e">
        <f t="shared" ca="1" si="20"/>
        <v>#VALUE!</v>
      </c>
      <c r="K89" t="e">
        <f t="shared" ca="1" si="28"/>
        <v>#VALUE!</v>
      </c>
      <c r="L89" t="e">
        <f t="shared" ca="1" si="29"/>
        <v>#VALUE!</v>
      </c>
      <c r="M89" t="e">
        <f t="shared" ca="1" si="30"/>
        <v>#VALUE!</v>
      </c>
      <c r="N89" t="e">
        <f t="shared" ca="1" si="31"/>
        <v>#VALUE!</v>
      </c>
      <c r="O89" t="e">
        <f t="shared" ca="1" si="32"/>
        <v>#VALUE!</v>
      </c>
      <c r="P89" t="e">
        <f t="shared" ca="1" si="36"/>
        <v>#VALUE!</v>
      </c>
      <c r="Q89" t="e">
        <f t="shared" ca="1" si="33"/>
        <v>#VALUE!</v>
      </c>
      <c r="R89" t="e">
        <f t="shared" ca="1" si="34"/>
        <v>#VALUE!</v>
      </c>
      <c r="S89" t="e">
        <f t="shared" ca="1" si="35"/>
        <v>#VALUE!</v>
      </c>
    </row>
    <row r="90" spans="1:19" x14ac:dyDescent="0.2">
      <c r="A90">
        <v>90</v>
      </c>
      <c r="B90" s="3" t="str">
        <f t="shared" ca="1" si="19"/>
        <v/>
      </c>
      <c r="C90" s="3" t="str">
        <f t="shared" ca="1" si="21"/>
        <v/>
      </c>
      <c r="D90" t="e">
        <f t="shared" ca="1" si="22"/>
        <v>#VALUE!</v>
      </c>
      <c r="E90" t="e">
        <f t="shared" ca="1" si="23"/>
        <v>#VALUE!</v>
      </c>
      <c r="F90" t="e">
        <f t="shared" ca="1" si="24"/>
        <v>#VALUE!</v>
      </c>
      <c r="G90" t="e">
        <f t="shared" ca="1" si="25"/>
        <v>#VALUE!</v>
      </c>
      <c r="H90" t="e">
        <f t="shared" ca="1" si="26"/>
        <v>#VALUE!</v>
      </c>
      <c r="I90" t="e">
        <f t="shared" ca="1" si="27"/>
        <v>#VALUE!</v>
      </c>
      <c r="J90" t="e">
        <f t="shared" ca="1" si="20"/>
        <v>#VALUE!</v>
      </c>
      <c r="K90" t="e">
        <f t="shared" ca="1" si="28"/>
        <v>#VALUE!</v>
      </c>
      <c r="L90" t="e">
        <f t="shared" ca="1" si="29"/>
        <v>#VALUE!</v>
      </c>
      <c r="M90" t="e">
        <f t="shared" ca="1" si="30"/>
        <v>#VALUE!</v>
      </c>
      <c r="N90" t="e">
        <f t="shared" ca="1" si="31"/>
        <v>#VALUE!</v>
      </c>
      <c r="O90" t="e">
        <f t="shared" ca="1" si="32"/>
        <v>#VALUE!</v>
      </c>
      <c r="P90" t="e">
        <f t="shared" ca="1" si="36"/>
        <v>#VALUE!</v>
      </c>
      <c r="Q90" t="e">
        <f t="shared" ca="1" si="33"/>
        <v>#VALUE!</v>
      </c>
      <c r="R90" t="e">
        <f t="shared" ca="1" si="34"/>
        <v>#VALUE!</v>
      </c>
      <c r="S90" t="e">
        <f t="shared" ca="1" si="35"/>
        <v>#VALUE!</v>
      </c>
    </row>
    <row r="91" spans="1:19" x14ac:dyDescent="0.2">
      <c r="A91">
        <v>91</v>
      </c>
      <c r="B91" s="3" t="str">
        <f t="shared" ca="1" si="19"/>
        <v/>
      </c>
      <c r="C91" s="3" t="str">
        <f t="shared" ca="1" si="21"/>
        <v/>
      </c>
      <c r="D91" t="e">
        <f t="shared" ca="1" si="22"/>
        <v>#VALUE!</v>
      </c>
      <c r="E91" t="e">
        <f t="shared" ca="1" si="23"/>
        <v>#VALUE!</v>
      </c>
      <c r="F91" t="e">
        <f t="shared" ca="1" si="24"/>
        <v>#VALUE!</v>
      </c>
      <c r="G91" t="e">
        <f t="shared" ca="1" si="25"/>
        <v>#VALUE!</v>
      </c>
      <c r="H91" t="e">
        <f t="shared" ca="1" si="26"/>
        <v>#VALUE!</v>
      </c>
      <c r="I91" t="e">
        <f t="shared" ca="1" si="27"/>
        <v>#VALUE!</v>
      </c>
      <c r="J91" t="e">
        <f t="shared" ca="1" si="20"/>
        <v>#VALUE!</v>
      </c>
      <c r="K91" t="e">
        <f t="shared" ca="1" si="28"/>
        <v>#VALUE!</v>
      </c>
      <c r="L91" t="e">
        <f t="shared" ca="1" si="29"/>
        <v>#VALUE!</v>
      </c>
      <c r="M91" t="e">
        <f t="shared" ca="1" si="30"/>
        <v>#VALUE!</v>
      </c>
      <c r="N91" t="e">
        <f t="shared" ca="1" si="31"/>
        <v>#VALUE!</v>
      </c>
      <c r="O91" t="e">
        <f t="shared" ca="1" si="32"/>
        <v>#VALUE!</v>
      </c>
      <c r="P91" t="e">
        <f t="shared" ca="1" si="36"/>
        <v>#VALUE!</v>
      </c>
      <c r="Q91" t="e">
        <f t="shared" ca="1" si="33"/>
        <v>#VALUE!</v>
      </c>
      <c r="R91" t="e">
        <f t="shared" ca="1" si="34"/>
        <v>#VALUE!</v>
      </c>
      <c r="S91" t="e">
        <f t="shared" ca="1" si="35"/>
        <v>#VALUE!</v>
      </c>
    </row>
    <row r="92" spans="1:19" x14ac:dyDescent="0.2">
      <c r="A92">
        <v>92</v>
      </c>
      <c r="B92" s="3" t="str">
        <f t="shared" ca="1" si="19"/>
        <v/>
      </c>
      <c r="C92" s="3" t="str">
        <f t="shared" ca="1" si="21"/>
        <v/>
      </c>
      <c r="D92" t="e">
        <f t="shared" ca="1" si="22"/>
        <v>#VALUE!</v>
      </c>
      <c r="E92" t="e">
        <f t="shared" ca="1" si="23"/>
        <v>#VALUE!</v>
      </c>
      <c r="F92" t="e">
        <f t="shared" ca="1" si="24"/>
        <v>#VALUE!</v>
      </c>
      <c r="G92" t="e">
        <f t="shared" ca="1" si="25"/>
        <v>#VALUE!</v>
      </c>
      <c r="H92" t="e">
        <f t="shared" ca="1" si="26"/>
        <v>#VALUE!</v>
      </c>
      <c r="I92" t="e">
        <f t="shared" ca="1" si="27"/>
        <v>#VALUE!</v>
      </c>
      <c r="J92" t="e">
        <f t="shared" ca="1" si="20"/>
        <v>#VALUE!</v>
      </c>
      <c r="K92" t="e">
        <f t="shared" ca="1" si="28"/>
        <v>#VALUE!</v>
      </c>
      <c r="L92" t="e">
        <f t="shared" ca="1" si="29"/>
        <v>#VALUE!</v>
      </c>
      <c r="M92" t="e">
        <f t="shared" ca="1" si="30"/>
        <v>#VALUE!</v>
      </c>
      <c r="N92" t="e">
        <f t="shared" ca="1" si="31"/>
        <v>#VALUE!</v>
      </c>
      <c r="O92" t="e">
        <f t="shared" ca="1" si="32"/>
        <v>#VALUE!</v>
      </c>
      <c r="P92" t="e">
        <f t="shared" ca="1" si="36"/>
        <v>#VALUE!</v>
      </c>
      <c r="Q92" t="e">
        <f t="shared" ca="1" si="33"/>
        <v>#VALUE!</v>
      </c>
      <c r="R92" t="e">
        <f t="shared" ca="1" si="34"/>
        <v>#VALUE!</v>
      </c>
      <c r="S92" t="e">
        <f t="shared" ca="1" si="35"/>
        <v>#VALUE!</v>
      </c>
    </row>
    <row r="93" spans="1:19" x14ac:dyDescent="0.2">
      <c r="A93">
        <v>93</v>
      </c>
      <c r="B93" s="3" t="str">
        <f t="shared" ca="1" si="19"/>
        <v/>
      </c>
      <c r="C93" s="3" t="str">
        <f t="shared" ca="1" si="21"/>
        <v/>
      </c>
      <c r="D93" t="e">
        <f t="shared" ca="1" si="22"/>
        <v>#VALUE!</v>
      </c>
      <c r="E93" t="e">
        <f t="shared" ca="1" si="23"/>
        <v>#VALUE!</v>
      </c>
      <c r="F93" t="e">
        <f t="shared" ca="1" si="24"/>
        <v>#VALUE!</v>
      </c>
      <c r="G93" t="e">
        <f t="shared" ca="1" si="25"/>
        <v>#VALUE!</v>
      </c>
      <c r="H93" t="e">
        <f t="shared" ca="1" si="26"/>
        <v>#VALUE!</v>
      </c>
      <c r="I93" t="e">
        <f t="shared" ca="1" si="27"/>
        <v>#VALUE!</v>
      </c>
      <c r="J93" t="e">
        <f t="shared" ca="1" si="20"/>
        <v>#VALUE!</v>
      </c>
      <c r="K93" t="e">
        <f t="shared" ca="1" si="28"/>
        <v>#VALUE!</v>
      </c>
      <c r="L93" t="e">
        <f t="shared" ca="1" si="29"/>
        <v>#VALUE!</v>
      </c>
      <c r="M93" t="e">
        <f t="shared" ca="1" si="30"/>
        <v>#VALUE!</v>
      </c>
      <c r="N93" t="e">
        <f t="shared" ca="1" si="31"/>
        <v>#VALUE!</v>
      </c>
      <c r="O93" t="e">
        <f t="shared" ca="1" si="32"/>
        <v>#VALUE!</v>
      </c>
      <c r="P93" t="e">
        <f t="shared" ca="1" si="36"/>
        <v>#VALUE!</v>
      </c>
      <c r="Q93" t="e">
        <f t="shared" ca="1" si="33"/>
        <v>#VALUE!</v>
      </c>
      <c r="R93" t="e">
        <f t="shared" ca="1" si="34"/>
        <v>#VALUE!</v>
      </c>
      <c r="S93" t="e">
        <f t="shared" ca="1" si="35"/>
        <v>#VALUE!</v>
      </c>
    </row>
    <row r="94" spans="1:19" x14ac:dyDescent="0.2">
      <c r="A94">
        <v>94</v>
      </c>
      <c r="B94" s="3" t="str">
        <f t="shared" ca="1" si="19"/>
        <v/>
      </c>
      <c r="C94" s="3" t="str">
        <f t="shared" ca="1" si="21"/>
        <v/>
      </c>
      <c r="D94" t="e">
        <f t="shared" ca="1" si="22"/>
        <v>#VALUE!</v>
      </c>
      <c r="E94" t="e">
        <f t="shared" ca="1" si="23"/>
        <v>#VALUE!</v>
      </c>
      <c r="F94" t="e">
        <f t="shared" ca="1" si="24"/>
        <v>#VALUE!</v>
      </c>
      <c r="G94" t="e">
        <f t="shared" ca="1" si="25"/>
        <v>#VALUE!</v>
      </c>
      <c r="H94" t="e">
        <f t="shared" ca="1" si="26"/>
        <v>#VALUE!</v>
      </c>
      <c r="I94" t="e">
        <f t="shared" ca="1" si="27"/>
        <v>#VALUE!</v>
      </c>
      <c r="J94" t="e">
        <f t="shared" ca="1" si="20"/>
        <v>#VALUE!</v>
      </c>
      <c r="K94" t="e">
        <f t="shared" ca="1" si="28"/>
        <v>#VALUE!</v>
      </c>
      <c r="L94" t="e">
        <f t="shared" ca="1" si="29"/>
        <v>#VALUE!</v>
      </c>
      <c r="M94" t="e">
        <f t="shared" ca="1" si="30"/>
        <v>#VALUE!</v>
      </c>
      <c r="N94" t="e">
        <f t="shared" ca="1" si="31"/>
        <v>#VALUE!</v>
      </c>
      <c r="O94" t="e">
        <f t="shared" ca="1" si="32"/>
        <v>#VALUE!</v>
      </c>
      <c r="P94" t="e">
        <f t="shared" ca="1" si="36"/>
        <v>#VALUE!</v>
      </c>
      <c r="Q94" t="e">
        <f t="shared" ca="1" si="33"/>
        <v>#VALUE!</v>
      </c>
      <c r="R94" t="e">
        <f t="shared" ca="1" si="34"/>
        <v>#VALUE!</v>
      </c>
      <c r="S94" t="e">
        <f t="shared" ca="1" si="35"/>
        <v>#VALUE!</v>
      </c>
    </row>
    <row r="95" spans="1:19" x14ac:dyDescent="0.2">
      <c r="A95">
        <v>95</v>
      </c>
      <c r="B95" s="3" t="str">
        <f t="shared" ca="1" si="19"/>
        <v/>
      </c>
      <c r="C95" s="3" t="str">
        <f t="shared" ca="1" si="21"/>
        <v/>
      </c>
      <c r="D95" t="e">
        <f t="shared" ca="1" si="22"/>
        <v>#VALUE!</v>
      </c>
      <c r="E95" t="e">
        <f t="shared" ca="1" si="23"/>
        <v>#VALUE!</v>
      </c>
      <c r="F95" t="e">
        <f t="shared" ca="1" si="24"/>
        <v>#VALUE!</v>
      </c>
      <c r="G95" t="e">
        <f t="shared" ca="1" si="25"/>
        <v>#VALUE!</v>
      </c>
      <c r="H95" t="e">
        <f t="shared" ca="1" si="26"/>
        <v>#VALUE!</v>
      </c>
      <c r="I95" t="e">
        <f t="shared" ca="1" si="27"/>
        <v>#VALUE!</v>
      </c>
      <c r="J95" t="e">
        <f t="shared" ca="1" si="20"/>
        <v>#VALUE!</v>
      </c>
      <c r="K95" t="e">
        <f t="shared" ca="1" si="28"/>
        <v>#VALUE!</v>
      </c>
      <c r="L95" t="e">
        <f t="shared" ca="1" si="29"/>
        <v>#VALUE!</v>
      </c>
      <c r="M95" t="e">
        <f t="shared" ca="1" si="30"/>
        <v>#VALUE!</v>
      </c>
      <c r="N95" t="e">
        <f t="shared" ca="1" si="31"/>
        <v>#VALUE!</v>
      </c>
      <c r="O95" t="e">
        <f t="shared" ca="1" si="32"/>
        <v>#VALUE!</v>
      </c>
      <c r="P95" t="e">
        <f t="shared" ca="1" si="36"/>
        <v>#VALUE!</v>
      </c>
      <c r="Q95" t="e">
        <f t="shared" ca="1" si="33"/>
        <v>#VALUE!</v>
      </c>
      <c r="R95" t="e">
        <f t="shared" ca="1" si="34"/>
        <v>#VALUE!</v>
      </c>
      <c r="S95" t="e">
        <f t="shared" ca="1" si="35"/>
        <v>#VALUE!</v>
      </c>
    </row>
    <row r="96" spans="1:19" x14ac:dyDescent="0.2">
      <c r="A96">
        <v>96</v>
      </c>
      <c r="B96" s="3" t="str">
        <f t="shared" ca="1" si="19"/>
        <v/>
      </c>
      <c r="C96" s="3" t="str">
        <f t="shared" ca="1" si="21"/>
        <v/>
      </c>
      <c r="D96" t="e">
        <f t="shared" ca="1" si="22"/>
        <v>#VALUE!</v>
      </c>
      <c r="E96" t="e">
        <f t="shared" ca="1" si="23"/>
        <v>#VALUE!</v>
      </c>
      <c r="F96" t="e">
        <f t="shared" ca="1" si="24"/>
        <v>#VALUE!</v>
      </c>
      <c r="G96" t="e">
        <f t="shared" ca="1" si="25"/>
        <v>#VALUE!</v>
      </c>
      <c r="H96" t="e">
        <f t="shared" ca="1" si="26"/>
        <v>#VALUE!</v>
      </c>
      <c r="I96" t="e">
        <f t="shared" ca="1" si="27"/>
        <v>#VALUE!</v>
      </c>
      <c r="J96" t="e">
        <f t="shared" ca="1" si="20"/>
        <v>#VALUE!</v>
      </c>
      <c r="K96" t="e">
        <f t="shared" ca="1" si="28"/>
        <v>#VALUE!</v>
      </c>
      <c r="L96" t="e">
        <f t="shared" ca="1" si="29"/>
        <v>#VALUE!</v>
      </c>
      <c r="M96" t="e">
        <f t="shared" ca="1" si="30"/>
        <v>#VALUE!</v>
      </c>
      <c r="N96" t="e">
        <f t="shared" ca="1" si="31"/>
        <v>#VALUE!</v>
      </c>
      <c r="O96" t="e">
        <f t="shared" ca="1" si="32"/>
        <v>#VALUE!</v>
      </c>
      <c r="P96" t="e">
        <f t="shared" ca="1" si="36"/>
        <v>#VALUE!</v>
      </c>
      <c r="Q96" t="e">
        <f t="shared" ca="1" si="33"/>
        <v>#VALUE!</v>
      </c>
      <c r="R96" t="e">
        <f t="shared" ca="1" si="34"/>
        <v>#VALUE!</v>
      </c>
      <c r="S96" t="e">
        <f t="shared" ca="1" si="35"/>
        <v>#VALUE!</v>
      </c>
    </row>
    <row r="97" spans="1:19" x14ac:dyDescent="0.2">
      <c r="A97">
        <v>97</v>
      </c>
      <c r="B97" s="3" t="str">
        <f t="shared" ca="1" si="19"/>
        <v/>
      </c>
      <c r="C97" s="3" t="str">
        <f t="shared" ca="1" si="21"/>
        <v/>
      </c>
      <c r="D97" t="e">
        <f t="shared" ca="1" si="22"/>
        <v>#VALUE!</v>
      </c>
      <c r="E97" t="e">
        <f t="shared" ca="1" si="23"/>
        <v>#VALUE!</v>
      </c>
      <c r="F97" t="e">
        <f t="shared" ca="1" si="24"/>
        <v>#VALUE!</v>
      </c>
      <c r="G97" t="e">
        <f t="shared" ca="1" si="25"/>
        <v>#VALUE!</v>
      </c>
      <c r="H97" t="e">
        <f t="shared" ca="1" si="26"/>
        <v>#VALUE!</v>
      </c>
      <c r="I97" t="e">
        <f t="shared" ca="1" si="27"/>
        <v>#VALUE!</v>
      </c>
      <c r="J97" t="e">
        <f t="shared" ca="1" si="20"/>
        <v>#VALUE!</v>
      </c>
      <c r="K97" t="e">
        <f t="shared" ca="1" si="28"/>
        <v>#VALUE!</v>
      </c>
      <c r="L97" t="e">
        <f t="shared" ca="1" si="29"/>
        <v>#VALUE!</v>
      </c>
      <c r="M97" t="e">
        <f t="shared" ca="1" si="30"/>
        <v>#VALUE!</v>
      </c>
      <c r="N97" t="e">
        <f t="shared" ca="1" si="31"/>
        <v>#VALUE!</v>
      </c>
      <c r="O97" t="e">
        <f t="shared" ca="1" si="32"/>
        <v>#VALUE!</v>
      </c>
      <c r="P97" t="e">
        <f t="shared" ca="1" si="36"/>
        <v>#VALUE!</v>
      </c>
      <c r="Q97" t="e">
        <f t="shared" ca="1" si="33"/>
        <v>#VALUE!</v>
      </c>
      <c r="R97" t="e">
        <f t="shared" ca="1" si="34"/>
        <v>#VALUE!</v>
      </c>
      <c r="S97" t="e">
        <f t="shared" ca="1" si="35"/>
        <v>#VALUE!</v>
      </c>
    </row>
    <row r="98" spans="1:19" x14ac:dyDescent="0.2">
      <c r="A98">
        <v>98</v>
      </c>
      <c r="B98" s="3" t="str">
        <f ca="1">IF(A98&lt;=$W$1,INDIRECT("Spline!A"&amp;A98),"")</f>
        <v/>
      </c>
      <c r="C98" s="3" t="str">
        <f t="shared" ca="1" si="21"/>
        <v/>
      </c>
      <c r="D98" t="e">
        <f t="shared" ca="1" si="22"/>
        <v>#VALUE!</v>
      </c>
      <c r="E98" t="e">
        <f t="shared" ca="1" si="23"/>
        <v>#VALUE!</v>
      </c>
      <c r="F98" t="e">
        <f t="shared" ca="1" si="24"/>
        <v>#VALUE!</v>
      </c>
      <c r="G98" t="e">
        <f t="shared" ca="1" si="25"/>
        <v>#VALUE!</v>
      </c>
      <c r="H98" t="e">
        <f t="shared" ca="1" si="26"/>
        <v>#VALUE!</v>
      </c>
      <c r="I98" t="e">
        <f t="shared" ca="1" si="27"/>
        <v>#VALUE!</v>
      </c>
      <c r="J98" t="e">
        <f t="shared" ca="1" si="20"/>
        <v>#VALUE!</v>
      </c>
      <c r="K98" t="e">
        <f t="shared" ca="1" si="28"/>
        <v>#VALUE!</v>
      </c>
      <c r="L98" t="e">
        <f t="shared" ca="1" si="29"/>
        <v>#VALUE!</v>
      </c>
      <c r="M98" t="e">
        <f t="shared" ca="1" si="30"/>
        <v>#VALUE!</v>
      </c>
      <c r="N98" t="e">
        <f t="shared" ca="1" si="31"/>
        <v>#VALUE!</v>
      </c>
      <c r="O98" t="e">
        <f t="shared" ca="1" si="32"/>
        <v>#VALUE!</v>
      </c>
      <c r="P98" t="e">
        <f t="shared" ca="1" si="36"/>
        <v>#VALUE!</v>
      </c>
      <c r="Q98" t="e">
        <f t="shared" ca="1" si="33"/>
        <v>#VALUE!</v>
      </c>
      <c r="R98" t="e">
        <f t="shared" ca="1" si="34"/>
        <v>#VALUE!</v>
      </c>
      <c r="S98" t="e">
        <f t="shared" ca="1" si="35"/>
        <v>#VALUE!</v>
      </c>
    </row>
    <row r="99" spans="1:19" x14ac:dyDescent="0.2">
      <c r="A99">
        <v>99</v>
      </c>
      <c r="B99" s="3" t="str">
        <f ca="1">IF(A99&lt;=$W$1,INDIRECT("Spline!A"&amp;A99),"")</f>
        <v/>
      </c>
      <c r="C99" s="3" t="str">
        <f t="shared" ca="1" si="21"/>
        <v/>
      </c>
      <c r="D99" t="e">
        <f t="shared" ca="1" si="22"/>
        <v>#VALUE!</v>
      </c>
      <c r="E99" t="e">
        <f t="shared" ca="1" si="23"/>
        <v>#VALUE!</v>
      </c>
      <c r="F99" t="e">
        <f t="shared" ca="1" si="24"/>
        <v>#VALUE!</v>
      </c>
      <c r="G99" t="e">
        <f t="shared" ca="1" si="25"/>
        <v>#VALUE!</v>
      </c>
      <c r="H99" t="e">
        <f t="shared" ca="1" si="26"/>
        <v>#VALUE!</v>
      </c>
      <c r="I99" t="e">
        <f t="shared" ca="1" si="27"/>
        <v>#VALUE!</v>
      </c>
      <c r="J99" t="e">
        <f t="shared" ca="1" si="20"/>
        <v>#VALUE!</v>
      </c>
      <c r="K99" t="e">
        <f t="shared" ca="1" si="28"/>
        <v>#VALUE!</v>
      </c>
      <c r="L99" t="e">
        <f t="shared" ca="1" si="29"/>
        <v>#VALUE!</v>
      </c>
      <c r="M99" t="e">
        <f t="shared" ca="1" si="30"/>
        <v>#VALUE!</v>
      </c>
      <c r="N99" t="e">
        <f t="shared" ca="1" si="31"/>
        <v>#VALUE!</v>
      </c>
      <c r="O99" t="e">
        <f t="shared" ca="1" si="32"/>
        <v>#VALUE!</v>
      </c>
      <c r="P99" t="e">
        <f t="shared" ca="1" si="36"/>
        <v>#VALUE!</v>
      </c>
      <c r="Q99" t="e">
        <f t="shared" ca="1" si="33"/>
        <v>#VALUE!</v>
      </c>
      <c r="R99" t="e">
        <f t="shared" ca="1" si="34"/>
        <v>#VALUE!</v>
      </c>
      <c r="S99" t="e">
        <f t="shared" ca="1" si="35"/>
        <v>#VALUE!</v>
      </c>
    </row>
    <row r="100" spans="1:19" x14ac:dyDescent="0.2">
      <c r="A100">
        <v>100</v>
      </c>
      <c r="B100" s="3" t="str">
        <f ca="1">IF(A100&lt;=$W$1,INDIRECT("Spline!A"&amp;A100),"")</f>
        <v/>
      </c>
      <c r="C100" s="3" t="str">
        <f t="shared" ca="1" si="21"/>
        <v/>
      </c>
      <c r="D100" t="e">
        <f t="shared" ca="1" si="22"/>
        <v>#VALUE!</v>
      </c>
      <c r="E100" t="e">
        <f t="shared" ca="1" si="23"/>
        <v>#VALUE!</v>
      </c>
      <c r="F100" t="e">
        <f t="shared" ca="1" si="24"/>
        <v>#VALUE!</v>
      </c>
      <c r="G100" t="e">
        <f t="shared" ca="1" si="25"/>
        <v>#VALUE!</v>
      </c>
      <c r="H100" t="e">
        <f t="shared" ca="1" si="26"/>
        <v>#VALUE!</v>
      </c>
      <c r="I100" t="e">
        <f t="shared" ca="1" si="27"/>
        <v>#VALUE!</v>
      </c>
      <c r="J100" t="e">
        <f t="shared" ca="1" si="20"/>
        <v>#VALUE!</v>
      </c>
      <c r="K100" t="e">
        <f t="shared" ca="1" si="28"/>
        <v>#VALUE!</v>
      </c>
      <c r="L100" t="e">
        <f t="shared" ca="1" si="29"/>
        <v>#VALUE!</v>
      </c>
      <c r="M100" t="e">
        <f t="shared" ca="1" si="30"/>
        <v>#VALUE!</v>
      </c>
      <c r="N100" t="e">
        <f t="shared" ca="1" si="31"/>
        <v>#VALUE!</v>
      </c>
      <c r="O100" t="e">
        <f t="shared" ca="1" si="32"/>
        <v>#VALUE!</v>
      </c>
      <c r="P100" t="e">
        <f t="shared" ca="1" si="36"/>
        <v>#VALUE!</v>
      </c>
      <c r="Q100" t="e">
        <f t="shared" ca="1" si="33"/>
        <v>#VALUE!</v>
      </c>
      <c r="R100" t="e">
        <f t="shared" ca="1" si="34"/>
        <v>#VALUE!</v>
      </c>
      <c r="S100" t="e">
        <f t="shared" ca="1" si="35"/>
        <v>#VALUE!</v>
      </c>
    </row>
  </sheetData>
  <sheetProtection sheet="1" objects="1" scenarios="1"/>
  <phoneticPr fontId="3" type="noConversion"/>
  <conditionalFormatting sqref="U12:U19">
    <cfRule type="cellIs" dxfId="0" priority="1" stopIfTrue="1" operator="equal">
      <formula>FALSE</formula>
    </cfRule>
  </conditionalFormatting>
  <pageMargins left="0.75" right="0.75" top="1" bottom="1" header="0.5" footer="0.5"/>
  <pageSetup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2"/>
  <sheetViews>
    <sheetView workbookViewId="0"/>
  </sheetViews>
  <sheetFormatPr defaultRowHeight="12.75" x14ac:dyDescent="0.2"/>
  <cols>
    <col min="3" max="3" width="5.42578125" customWidth="1"/>
    <col min="4" max="5" width="6.7109375" customWidth="1"/>
    <col min="6" max="8" width="6.42578125" customWidth="1"/>
    <col min="15" max="15" width="12.28515625" customWidth="1"/>
  </cols>
  <sheetData>
    <row r="1" spans="1:16" x14ac:dyDescent="0.2">
      <c r="A1" t="s">
        <v>23</v>
      </c>
      <c r="B1" t="s">
        <v>0</v>
      </c>
      <c r="C1" t="s">
        <v>23</v>
      </c>
      <c r="D1" t="s">
        <v>26</v>
      </c>
      <c r="E1" t="s">
        <v>27</v>
      </c>
      <c r="F1" t="s">
        <v>31</v>
      </c>
      <c r="G1" t="s">
        <v>32</v>
      </c>
      <c r="H1" t="s">
        <v>30</v>
      </c>
      <c r="I1" t="s">
        <v>28</v>
      </c>
      <c r="J1" t="s">
        <v>29</v>
      </c>
      <c r="K1" t="s">
        <v>12</v>
      </c>
      <c r="L1" t="s">
        <v>33</v>
      </c>
      <c r="O1" t="s">
        <v>25</v>
      </c>
      <c r="P1">
        <v>200</v>
      </c>
    </row>
    <row r="2" spans="1:16" x14ac:dyDescent="0.2">
      <c r="A2">
        <v>0</v>
      </c>
      <c r="B2">
        <f ca="1">Computations!$B$2+A2*$P$2/$P$1</f>
        <v>1.4999999999999999E-2</v>
      </c>
      <c r="C2">
        <f ca="1">LOOKUP(B2,Computations!$B$2:$B$100,Computations!$A$2:A$100)</f>
        <v>2</v>
      </c>
      <c r="D2">
        <f ca="1">INDIRECT("Computations!B"&amp;C2)</f>
        <v>1.4999999999999999E-2</v>
      </c>
      <c r="E2">
        <f ca="1">INDIRECT("Computations!B"&amp;(C2+1))</f>
        <v>0.03</v>
      </c>
      <c r="F2">
        <f ca="1">(B2-D2)/(E2-D2)</f>
        <v>0</v>
      </c>
      <c r="G2">
        <f ca="1">INDIRECT("Computations!C"&amp;C2)</f>
        <v>0</v>
      </c>
      <c r="H2">
        <f ca="1">INDIRECT("Computations!Q"&amp;C2)</f>
        <v>0.04</v>
      </c>
      <c r="I2">
        <f ca="1">INDIRECT("Computations!R"&amp;C2)</f>
        <v>1.1666666666666679E-2</v>
      </c>
      <c r="J2">
        <f ca="1">INDIRECT("Computations!S"&amp;C2)</f>
        <v>-1.6666666666666774E-3</v>
      </c>
      <c r="K2">
        <f ca="1">G2+H2*F2+I2*F2*F2+J2*F2*F2*F2</f>
        <v>0</v>
      </c>
      <c r="L2">
        <v>0</v>
      </c>
      <c r="O2" t="s">
        <v>24</v>
      </c>
      <c r="P2">
        <f ca="1">INDIRECT("Computations!B"&amp;Computations!W1)-Computations!B2</f>
        <v>0.185</v>
      </c>
    </row>
    <row r="3" spans="1:16" x14ac:dyDescent="0.2">
      <c r="A3">
        <v>1</v>
      </c>
      <c r="B3">
        <f ca="1">Computations!$B$2+A3*$P$2/$P$1</f>
        <v>1.5924999999999998E-2</v>
      </c>
      <c r="C3">
        <f ca="1">LOOKUP(B3,Computations!$B$2:$B$100,Computations!$A$2:A$100)</f>
        <v>2</v>
      </c>
      <c r="D3">
        <f t="shared" ref="D3:D66" ca="1" si="0">INDIRECT("Computations!B"&amp;C3)</f>
        <v>1.4999999999999999E-2</v>
      </c>
      <c r="E3">
        <f t="shared" ref="E3:E30" ca="1" si="1">INDIRECT("Computations!B"&amp;(C3+1))</f>
        <v>0.03</v>
      </c>
      <c r="F3">
        <f t="shared" ref="F3:F30" ca="1" si="2">(B3-D3)/(E3-D3)</f>
        <v>6.1666666666666585E-2</v>
      </c>
      <c r="G3">
        <f t="shared" ref="G3:G30" ca="1" si="3">INDIRECT("Computations!C"&amp;C3)</f>
        <v>0</v>
      </c>
      <c r="H3">
        <f t="shared" ref="H3:H30" ca="1" si="4">INDIRECT("Computations!Q"&amp;C3)</f>
        <v>0.04</v>
      </c>
      <c r="I3">
        <f t="shared" ref="I3:I30" ca="1" si="5">INDIRECT("Computations!R"&amp;C3)</f>
        <v>1.1666666666666679E-2</v>
      </c>
      <c r="J3">
        <f t="shared" ref="J3:J30" ca="1" si="6">INDIRECT("Computations!S"&amp;C3)</f>
        <v>-1.6666666666666774E-3</v>
      </c>
      <c r="K3">
        <f t="shared" ref="K3:K30" ca="1" si="7">G3+H3*F3+I3*F3*F3+J3*F3*F3*F3</f>
        <v>2.5106415663580213E-3</v>
      </c>
      <c r="L3">
        <f ca="1">(K4-K2)/(B4-B2)</f>
        <v>2.7609024691358028</v>
      </c>
    </row>
    <row r="4" spans="1:16" x14ac:dyDescent="0.2">
      <c r="A4">
        <v>2</v>
      </c>
      <c r="B4">
        <f ca="1">Computations!$B$2+A4*$P$2/$P$1</f>
        <v>1.685E-2</v>
      </c>
      <c r="C4">
        <f ca="1">LOOKUP(B4,Computations!$B$2:$B$100,Computations!$A$2:A$100)</f>
        <v>2</v>
      </c>
      <c r="D4">
        <f t="shared" ca="1" si="0"/>
        <v>1.4999999999999999E-2</v>
      </c>
      <c r="E4">
        <f t="shared" ca="1" si="1"/>
        <v>0.03</v>
      </c>
      <c r="F4">
        <f t="shared" ca="1" si="2"/>
        <v>0.12333333333333341</v>
      </c>
      <c r="G4">
        <f t="shared" ca="1" si="3"/>
        <v>0</v>
      </c>
      <c r="H4">
        <f t="shared" ca="1" si="4"/>
        <v>0.04</v>
      </c>
      <c r="I4">
        <f t="shared" ca="1" si="5"/>
        <v>1.1666666666666679E-2</v>
      </c>
      <c r="J4">
        <f t="shared" ca="1" si="6"/>
        <v>-1.6666666666666774E-3</v>
      </c>
      <c r="K4">
        <f t="shared" ca="1" si="7"/>
        <v>5.1076695679012378E-3</v>
      </c>
      <c r="L4">
        <f t="shared" ref="L4:L67" ca="1" si="8">(K5-K3)/(B5-B3)</f>
        <v>2.8530256172839512</v>
      </c>
    </row>
    <row r="5" spans="1:16" x14ac:dyDescent="0.2">
      <c r="A5">
        <v>3</v>
      </c>
      <c r="B5">
        <f ca="1">Computations!$B$2+A5*$P$2/$P$1</f>
        <v>1.7774999999999999E-2</v>
      </c>
      <c r="C5">
        <f ca="1">LOOKUP(B5,Computations!$B$2:$B$100,Computations!$A$2:A$100)</f>
        <v>2</v>
      </c>
      <c r="D5">
        <f t="shared" ca="1" si="0"/>
        <v>1.4999999999999999E-2</v>
      </c>
      <c r="E5">
        <f t="shared" ca="1" si="1"/>
        <v>0.03</v>
      </c>
      <c r="F5">
        <f t="shared" ca="1" si="2"/>
        <v>0.185</v>
      </c>
      <c r="G5">
        <f t="shared" ca="1" si="3"/>
        <v>0</v>
      </c>
      <c r="H5">
        <f t="shared" ca="1" si="4"/>
        <v>0.04</v>
      </c>
      <c r="I5">
        <f t="shared" ca="1" si="5"/>
        <v>1.1666666666666679E-2</v>
      </c>
      <c r="J5">
        <f t="shared" ca="1" si="6"/>
        <v>-1.6666666666666774E-3</v>
      </c>
      <c r="K5">
        <f t="shared" ca="1" si="7"/>
        <v>7.7887389583333336E-3</v>
      </c>
      <c r="L5">
        <f t="shared" ca="1" si="8"/>
        <v>2.9426135802469147</v>
      </c>
    </row>
    <row r="6" spans="1:16" x14ac:dyDescent="0.2">
      <c r="A6">
        <v>4</v>
      </c>
      <c r="B6">
        <f ca="1">Computations!$B$2+A6*$P$2/$P$1</f>
        <v>1.8700000000000001E-2</v>
      </c>
      <c r="C6">
        <f ca="1">LOOKUP(B6,Computations!$B$2:$B$100,Computations!$A$2:A$100)</f>
        <v>2</v>
      </c>
      <c r="D6">
        <f t="shared" ca="1" si="0"/>
        <v>1.4999999999999999E-2</v>
      </c>
      <c r="E6">
        <f t="shared" ca="1" si="1"/>
        <v>0.03</v>
      </c>
      <c r="F6">
        <f t="shared" ca="1" si="2"/>
        <v>0.24666666666666681</v>
      </c>
      <c r="G6">
        <f t="shared" ca="1" si="3"/>
        <v>0</v>
      </c>
      <c r="H6">
        <f t="shared" ca="1" si="4"/>
        <v>0.04</v>
      </c>
      <c r="I6">
        <f t="shared" ca="1" si="5"/>
        <v>1.1666666666666679E-2</v>
      </c>
      <c r="J6">
        <f t="shared" ca="1" si="6"/>
        <v>-1.6666666666666774E-3</v>
      </c>
      <c r="K6">
        <f t="shared" ca="1" si="7"/>
        <v>1.0551504691358033E-2</v>
      </c>
      <c r="L6">
        <f t="shared" ca="1" si="8"/>
        <v>3.0296663580246919</v>
      </c>
    </row>
    <row r="7" spans="1:16" x14ac:dyDescent="0.2">
      <c r="A7">
        <v>5</v>
      </c>
      <c r="B7">
        <f ca="1">Computations!$B$2+A7*$P$2/$P$1</f>
        <v>1.9625E-2</v>
      </c>
      <c r="C7">
        <f ca="1">LOOKUP(B7,Computations!$B$2:$B$100,Computations!$A$2:A$100)</f>
        <v>2</v>
      </c>
      <c r="D7">
        <f t="shared" ca="1" si="0"/>
        <v>1.4999999999999999E-2</v>
      </c>
      <c r="E7">
        <f t="shared" ca="1" si="1"/>
        <v>0.03</v>
      </c>
      <c r="F7">
        <f t="shared" ca="1" si="2"/>
        <v>0.3083333333333334</v>
      </c>
      <c r="G7">
        <f t="shared" ca="1" si="3"/>
        <v>0</v>
      </c>
      <c r="H7">
        <f t="shared" ca="1" si="4"/>
        <v>0.04</v>
      </c>
      <c r="I7">
        <f t="shared" ca="1" si="5"/>
        <v>1.1666666666666679E-2</v>
      </c>
      <c r="J7">
        <f t="shared" ca="1" si="6"/>
        <v>-1.6666666666666774E-3</v>
      </c>
      <c r="K7">
        <f t="shared" ca="1" si="7"/>
        <v>1.3393621720679016E-2</v>
      </c>
      <c r="L7">
        <f t="shared" ca="1" si="8"/>
        <v>3.1141839506172837</v>
      </c>
    </row>
    <row r="8" spans="1:16" x14ac:dyDescent="0.2">
      <c r="A8">
        <v>6</v>
      </c>
      <c r="B8">
        <f ca="1">Computations!$B$2+A8*$P$2/$P$1</f>
        <v>2.0549999999999999E-2</v>
      </c>
      <c r="C8">
        <f ca="1">LOOKUP(B8,Computations!$B$2:$B$100,Computations!$A$2:A$100)</f>
        <v>2</v>
      </c>
      <c r="D8">
        <f t="shared" ca="1" si="0"/>
        <v>1.4999999999999999E-2</v>
      </c>
      <c r="E8">
        <f t="shared" ca="1" si="1"/>
        <v>0.03</v>
      </c>
      <c r="F8">
        <f t="shared" ca="1" si="2"/>
        <v>0.37</v>
      </c>
      <c r="G8">
        <f t="shared" ca="1" si="3"/>
        <v>0</v>
      </c>
      <c r="H8">
        <f t="shared" ca="1" si="4"/>
        <v>0.04</v>
      </c>
      <c r="I8">
        <f t="shared" ca="1" si="5"/>
        <v>1.1666666666666679E-2</v>
      </c>
      <c r="J8">
        <f t="shared" ca="1" si="6"/>
        <v>-1.6666666666666774E-3</v>
      </c>
      <c r="K8">
        <f t="shared" ca="1" si="7"/>
        <v>1.6312745E-2</v>
      </c>
      <c r="L8">
        <f t="shared" ca="1" si="8"/>
        <v>3.196166358024692</v>
      </c>
    </row>
    <row r="9" spans="1:16" x14ac:dyDescent="0.2">
      <c r="A9">
        <v>7</v>
      </c>
      <c r="B9">
        <f ca="1">Computations!$B$2+A9*$P$2/$P$1</f>
        <v>2.1475000000000001E-2</v>
      </c>
      <c r="C9">
        <f ca="1">LOOKUP(B9,Computations!$B$2:$B$100,Computations!$A$2:A$100)</f>
        <v>2</v>
      </c>
      <c r="D9">
        <f t="shared" ca="1" si="0"/>
        <v>1.4999999999999999E-2</v>
      </c>
      <c r="E9">
        <f t="shared" ca="1" si="1"/>
        <v>0.03</v>
      </c>
      <c r="F9">
        <f t="shared" ca="1" si="2"/>
        <v>0.43166666666666681</v>
      </c>
      <c r="G9">
        <f t="shared" ca="1" si="3"/>
        <v>0</v>
      </c>
      <c r="H9">
        <f t="shared" ca="1" si="4"/>
        <v>0.04</v>
      </c>
      <c r="I9">
        <f t="shared" ca="1" si="5"/>
        <v>1.1666666666666679E-2</v>
      </c>
      <c r="J9">
        <f t="shared" ca="1" si="6"/>
        <v>-1.6666666666666774E-3</v>
      </c>
      <c r="K9">
        <f t="shared" ca="1" si="7"/>
        <v>1.9306529483024699E-2</v>
      </c>
      <c r="L9">
        <f t="shared" ca="1" si="8"/>
        <v>3.2756135802469144</v>
      </c>
    </row>
    <row r="10" spans="1:16" x14ac:dyDescent="0.2">
      <c r="A10">
        <v>8</v>
      </c>
      <c r="B10">
        <f ca="1">Computations!$B$2+A10*$P$2/$P$1</f>
        <v>2.24E-2</v>
      </c>
      <c r="C10">
        <f ca="1">LOOKUP(B10,Computations!$B$2:$B$100,Computations!$A$2:A$100)</f>
        <v>2</v>
      </c>
      <c r="D10">
        <f t="shared" ca="1" si="0"/>
        <v>1.4999999999999999E-2</v>
      </c>
      <c r="E10">
        <f t="shared" ca="1" si="1"/>
        <v>0.03</v>
      </c>
      <c r="F10">
        <f t="shared" ca="1" si="2"/>
        <v>0.49333333333333335</v>
      </c>
      <c r="G10">
        <f t="shared" ca="1" si="3"/>
        <v>0</v>
      </c>
      <c r="H10">
        <f t="shared" ca="1" si="4"/>
        <v>0.04</v>
      </c>
      <c r="I10">
        <f t="shared" ca="1" si="5"/>
        <v>1.1666666666666679E-2</v>
      </c>
      <c r="J10">
        <f t="shared" ca="1" si="6"/>
        <v>-1.6666666666666774E-3</v>
      </c>
      <c r="K10">
        <f t="shared" ca="1" si="7"/>
        <v>2.2372630123456794E-2</v>
      </c>
      <c r="L10">
        <f t="shared" ca="1" si="8"/>
        <v>3.3525256172839497</v>
      </c>
    </row>
    <row r="11" spans="1:16" x14ac:dyDescent="0.2">
      <c r="A11">
        <v>9</v>
      </c>
      <c r="B11">
        <f ca="1">Computations!$B$2+A11*$P$2/$P$1</f>
        <v>2.3324999999999999E-2</v>
      </c>
      <c r="C11">
        <f ca="1">LOOKUP(B11,Computations!$B$2:$B$100,Computations!$A$2:A$100)</f>
        <v>2</v>
      </c>
      <c r="D11">
        <f t="shared" ca="1" si="0"/>
        <v>1.4999999999999999E-2</v>
      </c>
      <c r="E11">
        <f t="shared" ca="1" si="1"/>
        <v>0.03</v>
      </c>
      <c r="F11">
        <f t="shared" ca="1" si="2"/>
        <v>0.55499999999999994</v>
      </c>
      <c r="G11">
        <f t="shared" ca="1" si="3"/>
        <v>0</v>
      </c>
      <c r="H11">
        <f t="shared" ca="1" si="4"/>
        <v>0.04</v>
      </c>
      <c r="I11">
        <f t="shared" ca="1" si="5"/>
        <v>1.1666666666666679E-2</v>
      </c>
      <c r="J11">
        <f t="shared" ca="1" si="6"/>
        <v>-1.6666666666666774E-3</v>
      </c>
      <c r="K11">
        <f t="shared" ca="1" si="7"/>
        <v>2.5508701874999998E-2</v>
      </c>
      <c r="L11">
        <f t="shared" ca="1" si="8"/>
        <v>3.4269024691358045</v>
      </c>
    </row>
    <row r="12" spans="1:16" x14ac:dyDescent="0.2">
      <c r="A12">
        <v>10</v>
      </c>
      <c r="B12">
        <f ca="1">Computations!$B$2+A12*$P$2/$P$1</f>
        <v>2.4250000000000001E-2</v>
      </c>
      <c r="C12">
        <f ca="1">LOOKUP(B12,Computations!$B$2:$B$100,Computations!$A$2:A$100)</f>
        <v>2</v>
      </c>
      <c r="D12">
        <f t="shared" ca="1" si="0"/>
        <v>1.4999999999999999E-2</v>
      </c>
      <c r="E12">
        <f t="shared" ca="1" si="1"/>
        <v>0.03</v>
      </c>
      <c r="F12">
        <f t="shared" ca="1" si="2"/>
        <v>0.61666666666666681</v>
      </c>
      <c r="G12">
        <f t="shared" ca="1" si="3"/>
        <v>0</v>
      </c>
      <c r="H12">
        <f t="shared" ca="1" si="4"/>
        <v>0.04</v>
      </c>
      <c r="I12">
        <f t="shared" ca="1" si="5"/>
        <v>1.1666666666666679E-2</v>
      </c>
      <c r="J12">
        <f t="shared" ca="1" si="6"/>
        <v>-1.6666666666666774E-3</v>
      </c>
      <c r="K12">
        <f t="shared" ca="1" si="7"/>
        <v>2.8712399691358036E-2</v>
      </c>
      <c r="L12">
        <f t="shared" ca="1" si="8"/>
        <v>3.4987441358024722</v>
      </c>
    </row>
    <row r="13" spans="1:16" x14ac:dyDescent="0.2">
      <c r="A13">
        <v>11</v>
      </c>
      <c r="B13">
        <f ca="1">Computations!$B$2+A13*$P$2/$P$1</f>
        <v>2.5174999999999999E-2</v>
      </c>
      <c r="C13">
        <f ca="1">LOOKUP(B13,Computations!$B$2:$B$100,Computations!$A$2:A$100)</f>
        <v>2</v>
      </c>
      <c r="D13">
        <f t="shared" ca="1" si="0"/>
        <v>1.4999999999999999E-2</v>
      </c>
      <c r="E13">
        <f t="shared" ca="1" si="1"/>
        <v>0.03</v>
      </c>
      <c r="F13">
        <f t="shared" ca="1" si="2"/>
        <v>0.67833333333333334</v>
      </c>
      <c r="G13">
        <f t="shared" ca="1" si="3"/>
        <v>0</v>
      </c>
      <c r="H13">
        <f t="shared" ca="1" si="4"/>
        <v>0.04</v>
      </c>
      <c r="I13">
        <f t="shared" ca="1" si="5"/>
        <v>1.1666666666666679E-2</v>
      </c>
      <c r="J13">
        <f t="shared" ca="1" si="6"/>
        <v>-1.6666666666666774E-3</v>
      </c>
      <c r="K13">
        <f t="shared" ca="1" si="7"/>
        <v>3.1981378526234575E-2</v>
      </c>
      <c r="L13">
        <f t="shared" ca="1" si="8"/>
        <v>3.5680506172839506</v>
      </c>
    </row>
    <row r="14" spans="1:16" x14ac:dyDescent="0.2">
      <c r="A14">
        <v>12</v>
      </c>
      <c r="B14">
        <f ca="1">Computations!$B$2+A14*$P$2/$P$1</f>
        <v>2.6099999999999998E-2</v>
      </c>
      <c r="C14">
        <f ca="1">LOOKUP(B14,Computations!$B$2:$B$100,Computations!$A$2:A$100)</f>
        <v>2</v>
      </c>
      <c r="D14">
        <f t="shared" ca="1" si="0"/>
        <v>1.4999999999999999E-2</v>
      </c>
      <c r="E14">
        <f t="shared" ca="1" si="1"/>
        <v>0.03</v>
      </c>
      <c r="F14">
        <f t="shared" ca="1" si="2"/>
        <v>0.74</v>
      </c>
      <c r="G14">
        <f t="shared" ca="1" si="3"/>
        <v>0</v>
      </c>
      <c r="H14">
        <f t="shared" ca="1" si="4"/>
        <v>0.04</v>
      </c>
      <c r="I14">
        <f t="shared" ca="1" si="5"/>
        <v>1.1666666666666679E-2</v>
      </c>
      <c r="J14">
        <f t="shared" ca="1" si="6"/>
        <v>-1.6666666666666774E-3</v>
      </c>
      <c r="K14">
        <f t="shared" ca="1" si="7"/>
        <v>3.5313293333333336E-2</v>
      </c>
      <c r="L14">
        <f t="shared" ca="1" si="8"/>
        <v>3.6348219135802475</v>
      </c>
    </row>
    <row r="15" spans="1:16" x14ac:dyDescent="0.2">
      <c r="A15">
        <v>13</v>
      </c>
      <c r="B15">
        <f ca="1">Computations!$B$2+A15*$P$2/$P$1</f>
        <v>2.7025E-2</v>
      </c>
      <c r="C15">
        <f ca="1">LOOKUP(B15,Computations!$B$2:$B$100,Computations!$A$2:A$100)</f>
        <v>2</v>
      </c>
      <c r="D15">
        <f t="shared" ca="1" si="0"/>
        <v>1.4999999999999999E-2</v>
      </c>
      <c r="E15">
        <f t="shared" ca="1" si="1"/>
        <v>0.03</v>
      </c>
      <c r="F15">
        <f t="shared" ca="1" si="2"/>
        <v>0.80166666666666675</v>
      </c>
      <c r="G15">
        <f t="shared" ca="1" si="3"/>
        <v>0</v>
      </c>
      <c r="H15">
        <f t="shared" ca="1" si="4"/>
        <v>0.04</v>
      </c>
      <c r="I15">
        <f t="shared" ca="1" si="5"/>
        <v>1.1666666666666679E-2</v>
      </c>
      <c r="J15">
        <f t="shared" ca="1" si="6"/>
        <v>-1.6666666666666774E-3</v>
      </c>
      <c r="K15">
        <f t="shared" ca="1" si="7"/>
        <v>3.8705799066358036E-2</v>
      </c>
      <c r="L15">
        <f t="shared" ca="1" si="8"/>
        <v>3.6990580246913596</v>
      </c>
    </row>
    <row r="16" spans="1:16" x14ac:dyDescent="0.2">
      <c r="A16">
        <v>14</v>
      </c>
      <c r="B16">
        <f ca="1">Computations!$B$2+A16*$P$2/$P$1</f>
        <v>2.7949999999999999E-2</v>
      </c>
      <c r="C16">
        <f ca="1">LOOKUP(B16,Computations!$B$2:$B$100,Computations!$A$2:A$100)</f>
        <v>2</v>
      </c>
      <c r="D16">
        <f t="shared" ca="1" si="0"/>
        <v>1.4999999999999999E-2</v>
      </c>
      <c r="E16">
        <f t="shared" ca="1" si="1"/>
        <v>0.03</v>
      </c>
      <c r="F16">
        <f t="shared" ca="1" si="2"/>
        <v>0.8633333333333334</v>
      </c>
      <c r="G16">
        <f t="shared" ca="1" si="3"/>
        <v>0</v>
      </c>
      <c r="H16">
        <f t="shared" ca="1" si="4"/>
        <v>0.04</v>
      </c>
      <c r="I16">
        <f t="shared" ca="1" si="5"/>
        <v>1.1666666666666679E-2</v>
      </c>
      <c r="J16">
        <f t="shared" ca="1" si="6"/>
        <v>-1.6666666666666774E-3</v>
      </c>
      <c r="K16">
        <f t="shared" ca="1" si="7"/>
        <v>4.2156550679012354E-2</v>
      </c>
      <c r="L16">
        <f t="shared" ca="1" si="8"/>
        <v>3.7607589506172845</v>
      </c>
    </row>
    <row r="17" spans="1:12" x14ac:dyDescent="0.2">
      <c r="A17">
        <v>15</v>
      </c>
      <c r="B17">
        <f ca="1">Computations!$B$2+A17*$P$2/$P$1</f>
        <v>2.8874999999999998E-2</v>
      </c>
      <c r="C17">
        <f ca="1">LOOKUP(B17,Computations!$B$2:$B$100,Computations!$A$2:A$100)</f>
        <v>2</v>
      </c>
      <c r="D17">
        <f t="shared" ca="1" si="0"/>
        <v>1.4999999999999999E-2</v>
      </c>
      <c r="E17">
        <f t="shared" ca="1" si="1"/>
        <v>0.03</v>
      </c>
      <c r="F17">
        <f t="shared" ca="1" si="2"/>
        <v>0.92499999999999993</v>
      </c>
      <c r="G17">
        <f t="shared" ca="1" si="3"/>
        <v>0</v>
      </c>
      <c r="H17">
        <f t="shared" ca="1" si="4"/>
        <v>0.04</v>
      </c>
      <c r="I17">
        <f t="shared" ca="1" si="5"/>
        <v>1.1666666666666679E-2</v>
      </c>
      <c r="J17">
        <f t="shared" ca="1" si="6"/>
        <v>-1.6666666666666774E-3</v>
      </c>
      <c r="K17">
        <f t="shared" ca="1" si="7"/>
        <v>4.5663203125000003E-2</v>
      </c>
      <c r="L17">
        <f t="shared" ca="1" si="8"/>
        <v>3.81992469135802</v>
      </c>
    </row>
    <row r="18" spans="1:12" x14ac:dyDescent="0.2">
      <c r="A18">
        <v>16</v>
      </c>
      <c r="B18">
        <f ca="1">Computations!$B$2+A18*$P$2/$P$1</f>
        <v>2.98E-2</v>
      </c>
      <c r="C18">
        <f ca="1">LOOKUP(B18,Computations!$B$2:$B$100,Computations!$A$2:A$100)</f>
        <v>2</v>
      </c>
      <c r="D18">
        <f t="shared" ca="1" si="0"/>
        <v>1.4999999999999999E-2</v>
      </c>
      <c r="E18">
        <f t="shared" ca="1" si="1"/>
        <v>0.03</v>
      </c>
      <c r="F18">
        <f t="shared" ca="1" si="2"/>
        <v>0.98666666666666669</v>
      </c>
      <c r="G18">
        <f t="shared" ca="1" si="3"/>
        <v>0</v>
      </c>
      <c r="H18">
        <f t="shared" ca="1" si="4"/>
        <v>0.04</v>
      </c>
      <c r="I18">
        <f t="shared" ca="1" si="5"/>
        <v>1.1666666666666679E-2</v>
      </c>
      <c r="J18">
        <f t="shared" ca="1" si="6"/>
        <v>-1.6666666666666774E-3</v>
      </c>
      <c r="K18">
        <f t="shared" ca="1" si="7"/>
        <v>4.9223411358024695E-2</v>
      </c>
      <c r="L18">
        <f t="shared" ca="1" si="8"/>
        <v>3.9306393760427047</v>
      </c>
    </row>
    <row r="19" spans="1:12" x14ac:dyDescent="0.2">
      <c r="A19">
        <v>17</v>
      </c>
      <c r="B19">
        <f ca="1">Computations!$B$2+A19*$P$2/$P$1</f>
        <v>3.0724999999999999E-2</v>
      </c>
      <c r="C19">
        <f ca="1">LOOKUP(B19,Computations!$B$2:$B$100,Computations!$A$2:A$100)</f>
        <v>3</v>
      </c>
      <c r="D19">
        <f t="shared" ca="1" si="0"/>
        <v>0.03</v>
      </c>
      <c r="E19">
        <f t="shared" ca="1" si="1"/>
        <v>4.4999999999999998E-2</v>
      </c>
      <c r="F19">
        <f t="shared" ca="1" si="2"/>
        <v>4.8333333333333332E-2</v>
      </c>
      <c r="G19">
        <f t="shared" ca="1" si="3"/>
        <v>0.05</v>
      </c>
      <c r="H19">
        <f t="shared" ca="1" si="4"/>
        <v>5.8333333333333327E-2</v>
      </c>
      <c r="I19">
        <f t="shared" ca="1" si="5"/>
        <v>5.1333333333333321E-2</v>
      </c>
      <c r="J19">
        <f t="shared" ca="1" si="6"/>
        <v>-3.9666666666666656E-2</v>
      </c>
      <c r="K19">
        <f t="shared" ca="1" si="7"/>
        <v>5.293488597067901E-2</v>
      </c>
      <c r="L19">
        <f t="shared" ca="1" si="8"/>
        <v>4.1954553019686349</v>
      </c>
    </row>
    <row r="20" spans="1:12" x14ac:dyDescent="0.2">
      <c r="A20">
        <v>18</v>
      </c>
      <c r="B20">
        <f ca="1">Computations!$B$2+A20*$P$2/$P$1</f>
        <v>3.1649999999999998E-2</v>
      </c>
      <c r="C20">
        <f ca="1">LOOKUP(B20,Computations!$B$2:$B$100,Computations!$A$2:A$100)</f>
        <v>3</v>
      </c>
      <c r="D20">
        <f t="shared" ca="1" si="0"/>
        <v>0.03</v>
      </c>
      <c r="E20">
        <f t="shared" ca="1" si="1"/>
        <v>4.4999999999999998E-2</v>
      </c>
      <c r="F20">
        <f t="shared" ca="1" si="2"/>
        <v>0.10999999999999992</v>
      </c>
      <c r="G20">
        <f t="shared" ca="1" si="3"/>
        <v>0.05</v>
      </c>
      <c r="H20">
        <f t="shared" ca="1" si="4"/>
        <v>5.8333333333333327E-2</v>
      </c>
      <c r="I20">
        <f t="shared" ca="1" si="5"/>
        <v>5.1333333333333321E-2</v>
      </c>
      <c r="J20">
        <f t="shared" ca="1" si="6"/>
        <v>-3.9666666666666656E-2</v>
      </c>
      <c r="K20">
        <f t="shared" ca="1" si="7"/>
        <v>5.6985003666666659E-2</v>
      </c>
      <c r="L20">
        <f t="shared" ca="1" si="8"/>
        <v>4.5357282098765417</v>
      </c>
    </row>
    <row r="21" spans="1:12" x14ac:dyDescent="0.2">
      <c r="A21">
        <v>19</v>
      </c>
      <c r="B21">
        <f ca="1">Computations!$B$2+A21*$P$2/$P$1</f>
        <v>3.2575E-2</v>
      </c>
      <c r="C21">
        <f ca="1">LOOKUP(B21,Computations!$B$2:$B$100,Computations!$A$2:A$100)</f>
        <v>3</v>
      </c>
      <c r="D21">
        <f t="shared" ca="1" si="0"/>
        <v>0.03</v>
      </c>
      <c r="E21">
        <f t="shared" ca="1" si="1"/>
        <v>4.4999999999999998E-2</v>
      </c>
      <c r="F21">
        <f t="shared" ca="1" si="2"/>
        <v>0.17166666666666675</v>
      </c>
      <c r="G21">
        <f t="shared" ca="1" si="3"/>
        <v>0.05</v>
      </c>
      <c r="H21">
        <f t="shared" ca="1" si="4"/>
        <v>5.8333333333333327E-2</v>
      </c>
      <c r="I21">
        <f t="shared" ca="1" si="5"/>
        <v>5.1333333333333321E-2</v>
      </c>
      <c r="J21">
        <f t="shared" ca="1" si="6"/>
        <v>-3.9666666666666656E-2</v>
      </c>
      <c r="K21">
        <f t="shared" ca="1" si="7"/>
        <v>6.1325983158950617E-2</v>
      </c>
      <c r="L21">
        <f t="shared" ca="1" si="8"/>
        <v>4.8200046913580232</v>
      </c>
    </row>
    <row r="22" spans="1:12" x14ac:dyDescent="0.2">
      <c r="A22">
        <v>20</v>
      </c>
      <c r="B22">
        <f ca="1">Computations!$B$2+A22*$P$2/$P$1</f>
        <v>3.3500000000000002E-2</v>
      </c>
      <c r="C22">
        <f ca="1">LOOKUP(B22,Computations!$B$2:$B$100,Computations!$A$2:A$100)</f>
        <v>3</v>
      </c>
      <c r="D22">
        <f t="shared" ca="1" si="0"/>
        <v>0.03</v>
      </c>
      <c r="E22">
        <f t="shared" ca="1" si="1"/>
        <v>4.4999999999999998E-2</v>
      </c>
      <c r="F22">
        <f t="shared" ca="1" si="2"/>
        <v>0.23333333333333356</v>
      </c>
      <c r="G22">
        <f t="shared" ca="1" si="3"/>
        <v>0.05</v>
      </c>
      <c r="H22">
        <f t="shared" ca="1" si="4"/>
        <v>5.8333333333333327E-2</v>
      </c>
      <c r="I22">
        <f t="shared" ca="1" si="5"/>
        <v>5.1333333333333321E-2</v>
      </c>
      <c r="J22">
        <f t="shared" ca="1" si="6"/>
        <v>-3.9666666666666656E-2</v>
      </c>
      <c r="K22">
        <f t="shared" ca="1" si="7"/>
        <v>6.5902012345679023E-2</v>
      </c>
      <c r="L22">
        <f t="shared" ca="1" si="8"/>
        <v>5.0439437654321058</v>
      </c>
    </row>
    <row r="23" spans="1:12" x14ac:dyDescent="0.2">
      <c r="A23">
        <v>21</v>
      </c>
      <c r="B23">
        <f ca="1">Computations!$B$2+A23*$P$2/$P$1</f>
        <v>3.4424999999999997E-2</v>
      </c>
      <c r="C23">
        <f ca="1">LOOKUP(B23,Computations!$B$2:$B$100,Computations!$A$2:A$100)</f>
        <v>3</v>
      </c>
      <c r="D23">
        <f t="shared" ca="1" si="0"/>
        <v>0.03</v>
      </c>
      <c r="E23">
        <f t="shared" ca="1" si="1"/>
        <v>4.4999999999999998E-2</v>
      </c>
      <c r="F23">
        <f t="shared" ca="1" si="2"/>
        <v>0.29499999999999993</v>
      </c>
      <c r="G23">
        <f t="shared" ca="1" si="3"/>
        <v>0.05</v>
      </c>
      <c r="H23">
        <f t="shared" ca="1" si="4"/>
        <v>5.8333333333333327E-2</v>
      </c>
      <c r="I23">
        <f t="shared" ca="1" si="5"/>
        <v>5.1333333333333321E-2</v>
      </c>
      <c r="J23">
        <f t="shared" ca="1" si="6"/>
        <v>-3.9666666666666656E-2</v>
      </c>
      <c r="K23">
        <f t="shared" ca="1" si="7"/>
        <v>7.0657279125E-2</v>
      </c>
      <c r="L23">
        <f t="shared" ca="1" si="8"/>
        <v>5.2075454320987733</v>
      </c>
    </row>
    <row r="24" spans="1:12" x14ac:dyDescent="0.2">
      <c r="A24">
        <v>22</v>
      </c>
      <c r="B24">
        <f ca="1">Computations!$B$2+A24*$P$2/$P$1</f>
        <v>3.5349999999999999E-2</v>
      </c>
      <c r="C24">
        <f ca="1">LOOKUP(B24,Computations!$B$2:$B$100,Computations!$A$2:A$100)</f>
        <v>3</v>
      </c>
      <c r="D24">
        <f t="shared" ca="1" si="0"/>
        <v>0.03</v>
      </c>
      <c r="E24">
        <f t="shared" ca="1" si="1"/>
        <v>4.4999999999999998E-2</v>
      </c>
      <c r="F24">
        <f t="shared" ca="1" si="2"/>
        <v>0.35666666666666674</v>
      </c>
      <c r="G24">
        <f t="shared" ca="1" si="3"/>
        <v>0.05</v>
      </c>
      <c r="H24">
        <f t="shared" ca="1" si="4"/>
        <v>5.8333333333333327E-2</v>
      </c>
      <c r="I24">
        <f t="shared" ca="1" si="5"/>
        <v>5.1333333333333321E-2</v>
      </c>
      <c r="J24">
        <f t="shared" ca="1" si="6"/>
        <v>-3.9666666666666656E-2</v>
      </c>
      <c r="K24">
        <f t="shared" ca="1" si="7"/>
        <v>7.5535971395061741E-2</v>
      </c>
      <c r="L24">
        <f t="shared" ca="1" si="8"/>
        <v>5.3108096913580249</v>
      </c>
    </row>
    <row r="25" spans="1:12" x14ac:dyDescent="0.2">
      <c r="A25">
        <v>23</v>
      </c>
      <c r="B25">
        <f ca="1">Computations!$B$2+A25*$P$2/$P$1</f>
        <v>3.6275000000000002E-2</v>
      </c>
      <c r="C25">
        <f ca="1">LOOKUP(B25,Computations!$B$2:$B$100,Computations!$A$2:A$100)</f>
        <v>3</v>
      </c>
      <c r="D25">
        <f t="shared" ca="1" si="0"/>
        <v>0.03</v>
      </c>
      <c r="E25">
        <f t="shared" ca="1" si="1"/>
        <v>4.4999999999999998E-2</v>
      </c>
      <c r="F25">
        <f t="shared" ca="1" si="2"/>
        <v>0.41833333333333356</v>
      </c>
      <c r="G25">
        <f t="shared" ca="1" si="3"/>
        <v>0.05</v>
      </c>
      <c r="H25">
        <f t="shared" ca="1" si="4"/>
        <v>5.8333333333333327E-2</v>
      </c>
      <c r="I25">
        <f t="shared" ca="1" si="5"/>
        <v>5.1333333333333321E-2</v>
      </c>
      <c r="J25">
        <f t="shared" ca="1" si="6"/>
        <v>-3.9666666666666656E-2</v>
      </c>
      <c r="K25">
        <f t="shared" ca="1" si="7"/>
        <v>8.0482277054012369E-2</v>
      </c>
      <c r="L25">
        <f t="shared" ca="1" si="8"/>
        <v>5.3537365432098669</v>
      </c>
    </row>
    <row r="26" spans="1:12" x14ac:dyDescent="0.2">
      <c r="A26">
        <v>24</v>
      </c>
      <c r="B26">
        <f ca="1">Computations!$B$2+A26*$P$2/$P$1</f>
        <v>3.7199999999999997E-2</v>
      </c>
      <c r="C26">
        <f ca="1">LOOKUP(B26,Computations!$B$2:$B$100,Computations!$A$2:A$100)</f>
        <v>3</v>
      </c>
      <c r="D26">
        <f t="shared" ca="1" si="0"/>
        <v>0.03</v>
      </c>
      <c r="E26">
        <f t="shared" ca="1" si="1"/>
        <v>4.4999999999999998E-2</v>
      </c>
      <c r="F26">
        <f t="shared" ca="1" si="2"/>
        <v>0.47999999999999987</v>
      </c>
      <c r="G26">
        <f t="shared" ca="1" si="3"/>
        <v>0.05</v>
      </c>
      <c r="H26">
        <f t="shared" ca="1" si="4"/>
        <v>5.8333333333333327E-2</v>
      </c>
      <c r="I26">
        <f t="shared" ca="1" si="5"/>
        <v>5.1333333333333321E-2</v>
      </c>
      <c r="J26">
        <f t="shared" ca="1" si="6"/>
        <v>-3.9666666666666656E-2</v>
      </c>
      <c r="K26">
        <f t="shared" ca="1" si="7"/>
        <v>8.544038399999998E-2</v>
      </c>
      <c r="L26">
        <f t="shared" ca="1" si="8"/>
        <v>5.3363259876543143</v>
      </c>
    </row>
    <row r="27" spans="1:12" x14ac:dyDescent="0.2">
      <c r="A27">
        <v>25</v>
      </c>
      <c r="B27">
        <f ca="1">Computations!$B$2+A27*$P$2/$P$1</f>
        <v>3.8124999999999999E-2</v>
      </c>
      <c r="C27">
        <f ca="1">LOOKUP(B27,Computations!$B$2:$B$100,Computations!$A$2:A$100)</f>
        <v>3</v>
      </c>
      <c r="D27">
        <f t="shared" ca="1" si="0"/>
        <v>0.03</v>
      </c>
      <c r="E27">
        <f t="shared" ca="1" si="1"/>
        <v>4.4999999999999998E-2</v>
      </c>
      <c r="F27">
        <f t="shared" ca="1" si="2"/>
        <v>0.54166666666666674</v>
      </c>
      <c r="G27">
        <f t="shared" ca="1" si="3"/>
        <v>0.05</v>
      </c>
      <c r="H27">
        <f t="shared" ca="1" si="4"/>
        <v>5.8333333333333327E-2</v>
      </c>
      <c r="I27">
        <f t="shared" ca="1" si="5"/>
        <v>5.1333333333333321E-2</v>
      </c>
      <c r="J27">
        <f t="shared" ca="1" si="6"/>
        <v>-3.9666666666666656E-2</v>
      </c>
      <c r="K27">
        <f t="shared" ca="1" si="7"/>
        <v>9.0354480131172837E-2</v>
      </c>
      <c r="L27">
        <f t="shared" ca="1" si="8"/>
        <v>5.2585780246913689</v>
      </c>
    </row>
    <row r="28" spans="1:12" x14ac:dyDescent="0.2">
      <c r="A28">
        <v>26</v>
      </c>
      <c r="B28">
        <f ca="1">Computations!$B$2+A28*$P$2/$P$1</f>
        <v>3.9050000000000001E-2</v>
      </c>
      <c r="C28">
        <f ca="1">LOOKUP(B28,Computations!$B$2:$B$100,Computations!$A$2:A$100)</f>
        <v>3</v>
      </c>
      <c r="D28">
        <f t="shared" ca="1" si="0"/>
        <v>0.03</v>
      </c>
      <c r="E28">
        <f t="shared" ca="1" si="1"/>
        <v>4.4999999999999998E-2</v>
      </c>
      <c r="F28">
        <f t="shared" ca="1" si="2"/>
        <v>0.6033333333333335</v>
      </c>
      <c r="G28">
        <f t="shared" ca="1" si="3"/>
        <v>0.05</v>
      </c>
      <c r="H28">
        <f t="shared" ca="1" si="4"/>
        <v>5.8333333333333327E-2</v>
      </c>
      <c r="I28">
        <f t="shared" ca="1" si="5"/>
        <v>5.1333333333333321E-2</v>
      </c>
      <c r="J28">
        <f t="shared" ca="1" si="6"/>
        <v>-3.9666666666666656E-2</v>
      </c>
      <c r="K28">
        <f t="shared" ca="1" si="7"/>
        <v>9.5168753345679036E-2</v>
      </c>
      <c r="L28">
        <f t="shared" ca="1" si="8"/>
        <v>5.1204926543209908</v>
      </c>
    </row>
    <row r="29" spans="1:12" x14ac:dyDescent="0.2">
      <c r="A29">
        <v>27</v>
      </c>
      <c r="B29">
        <f ca="1">Computations!$B$2+A29*$P$2/$P$1</f>
        <v>3.9974999999999997E-2</v>
      </c>
      <c r="C29">
        <f ca="1">LOOKUP(B29,Computations!$B$2:$B$100,Computations!$A$2:A$100)</f>
        <v>3</v>
      </c>
      <c r="D29">
        <f t="shared" ca="1" si="0"/>
        <v>0.03</v>
      </c>
      <c r="E29">
        <f t="shared" ca="1" si="1"/>
        <v>4.4999999999999998E-2</v>
      </c>
      <c r="F29">
        <f t="shared" ca="1" si="2"/>
        <v>0.66499999999999992</v>
      </c>
      <c r="G29">
        <f t="shared" ca="1" si="3"/>
        <v>0.05</v>
      </c>
      <c r="H29">
        <f t="shared" ca="1" si="4"/>
        <v>5.8333333333333327E-2</v>
      </c>
      <c r="I29">
        <f t="shared" ca="1" si="5"/>
        <v>5.1333333333333321E-2</v>
      </c>
      <c r="J29">
        <f t="shared" ca="1" si="6"/>
        <v>-3.9666666666666656E-2</v>
      </c>
      <c r="K29">
        <f t="shared" ca="1" si="7"/>
        <v>9.9827391541666657E-2</v>
      </c>
      <c r="L29">
        <f t="shared" ca="1" si="8"/>
        <v>4.9220698765431967</v>
      </c>
    </row>
    <row r="30" spans="1:12" x14ac:dyDescent="0.2">
      <c r="A30">
        <v>28</v>
      </c>
      <c r="B30">
        <f ca="1">Computations!$B$2+A30*$P$2/$P$1</f>
        <v>4.0899999999999999E-2</v>
      </c>
      <c r="C30">
        <f ca="1">LOOKUP(B30,Computations!$B$2:$B$100,Computations!$A$2:A$100)</f>
        <v>3</v>
      </c>
      <c r="D30">
        <f t="shared" ca="1" si="0"/>
        <v>0.03</v>
      </c>
      <c r="E30">
        <f t="shared" ca="1" si="1"/>
        <v>4.4999999999999998E-2</v>
      </c>
      <c r="F30">
        <f t="shared" ca="1" si="2"/>
        <v>0.72666666666666668</v>
      </c>
      <c r="G30">
        <f t="shared" ca="1" si="3"/>
        <v>0.05</v>
      </c>
      <c r="H30">
        <f t="shared" ca="1" si="4"/>
        <v>5.8333333333333327E-2</v>
      </c>
      <c r="I30">
        <f t="shared" ca="1" si="5"/>
        <v>5.1333333333333321E-2</v>
      </c>
      <c r="J30">
        <f t="shared" ca="1" si="6"/>
        <v>-3.9666666666666656E-2</v>
      </c>
      <c r="K30">
        <f t="shared" ca="1" si="7"/>
        <v>0.10427458261728394</v>
      </c>
      <c r="L30">
        <f t="shared" ca="1" si="8"/>
        <v>4.6633096913580259</v>
      </c>
    </row>
    <row r="31" spans="1:12" x14ac:dyDescent="0.2">
      <c r="A31">
        <v>29</v>
      </c>
      <c r="B31">
        <f ca="1">Computations!$B$2+A31*$P$2/$P$1</f>
        <v>4.1825000000000001E-2</v>
      </c>
      <c r="C31">
        <f ca="1">LOOKUP(B31,Computations!$B$2:$B$100,Computations!$A$2:A$100)</f>
        <v>3</v>
      </c>
      <c r="D31">
        <f t="shared" ca="1" si="0"/>
        <v>0.03</v>
      </c>
      <c r="E31">
        <f t="shared" ref="E31:E94" ca="1" si="9">INDIRECT("Computations!B"&amp;(C31+1))</f>
        <v>4.4999999999999998E-2</v>
      </c>
      <c r="F31">
        <f t="shared" ref="F31:F94" ca="1" si="10">(B31-D31)/(E31-D31)</f>
        <v>0.78833333333333355</v>
      </c>
      <c r="G31">
        <f t="shared" ref="G31:G94" ca="1" si="11">INDIRECT("Computations!C"&amp;C31)</f>
        <v>0.05</v>
      </c>
      <c r="H31">
        <f t="shared" ref="H31:H94" ca="1" si="12">INDIRECT("Computations!Q"&amp;C31)</f>
        <v>5.8333333333333327E-2</v>
      </c>
      <c r="I31">
        <f t="shared" ref="I31:I94" ca="1" si="13">INDIRECT("Computations!R"&amp;C31)</f>
        <v>5.1333333333333321E-2</v>
      </c>
      <c r="J31">
        <f t="shared" ref="J31:J94" ca="1" si="14">INDIRECT("Computations!S"&amp;C31)</f>
        <v>-3.9666666666666656E-2</v>
      </c>
      <c r="K31">
        <f t="shared" ref="K31:K94" ca="1" si="15">G31+H31*F31+I31*F31*F31+J31*F31*F31*F31</f>
        <v>0.10845451447067903</v>
      </c>
      <c r="L31">
        <f t="shared" ca="1" si="8"/>
        <v>4.3442120987654409</v>
      </c>
    </row>
    <row r="32" spans="1:12" x14ac:dyDescent="0.2">
      <c r="A32">
        <v>30</v>
      </c>
      <c r="B32">
        <f ca="1">Computations!$B$2+A32*$P$2/$P$1</f>
        <v>4.2749999999999996E-2</v>
      </c>
      <c r="C32">
        <f ca="1">LOOKUP(B32,Computations!$B$2:$B$100,Computations!$A$2:A$100)</f>
        <v>3</v>
      </c>
      <c r="D32">
        <f t="shared" ca="1" si="0"/>
        <v>0.03</v>
      </c>
      <c r="E32">
        <f t="shared" ca="1" si="9"/>
        <v>4.4999999999999998E-2</v>
      </c>
      <c r="F32">
        <f t="shared" ca="1" si="10"/>
        <v>0.84999999999999987</v>
      </c>
      <c r="G32">
        <f t="shared" ca="1" si="11"/>
        <v>0.05</v>
      </c>
      <c r="H32">
        <f t="shared" ca="1" si="12"/>
        <v>5.8333333333333327E-2</v>
      </c>
      <c r="I32">
        <f t="shared" ca="1" si="13"/>
        <v>5.1333333333333321E-2</v>
      </c>
      <c r="J32">
        <f t="shared" ca="1" si="14"/>
        <v>-3.9666666666666656E-2</v>
      </c>
      <c r="K32">
        <f t="shared" ca="1" si="15"/>
        <v>0.11231137499999999</v>
      </c>
      <c r="L32">
        <f t="shared" ca="1" si="8"/>
        <v>3.9647770987654267</v>
      </c>
    </row>
    <row r="33" spans="1:12" x14ac:dyDescent="0.2">
      <c r="A33">
        <v>31</v>
      </c>
      <c r="B33">
        <f ca="1">Computations!$B$2+A33*$P$2/$P$1</f>
        <v>4.3675000000000005E-2</v>
      </c>
      <c r="C33">
        <f ca="1">LOOKUP(B33,Computations!$B$2:$B$100,Computations!$A$2:A$100)</f>
        <v>3</v>
      </c>
      <c r="D33">
        <f t="shared" ca="1" si="0"/>
        <v>0.03</v>
      </c>
      <c r="E33">
        <f t="shared" ca="1" si="9"/>
        <v>4.4999999999999998E-2</v>
      </c>
      <c r="F33">
        <f t="shared" ca="1" si="10"/>
        <v>0.91166666666666718</v>
      </c>
      <c r="G33">
        <f t="shared" ca="1" si="11"/>
        <v>0.05</v>
      </c>
      <c r="H33">
        <f t="shared" ca="1" si="12"/>
        <v>5.8333333333333327E-2</v>
      </c>
      <c r="I33">
        <f t="shared" ca="1" si="13"/>
        <v>5.1333333333333321E-2</v>
      </c>
      <c r="J33">
        <f t="shared" ca="1" si="14"/>
        <v>-3.9666666666666656E-2</v>
      </c>
      <c r="K33">
        <f t="shared" ca="1" si="15"/>
        <v>0.11578935210339508</v>
      </c>
      <c r="L33">
        <f t="shared" ca="1" si="8"/>
        <v>3.5250046913580175</v>
      </c>
    </row>
    <row r="34" spans="1:12" x14ac:dyDescent="0.2">
      <c r="A34">
        <v>32</v>
      </c>
      <c r="B34">
        <f ca="1">Computations!$B$2+A34*$P$2/$P$1</f>
        <v>4.4600000000000001E-2</v>
      </c>
      <c r="C34">
        <f ca="1">LOOKUP(B34,Computations!$B$2:$B$100,Computations!$A$2:A$100)</f>
        <v>3</v>
      </c>
      <c r="D34">
        <f t="shared" ca="1" si="0"/>
        <v>0.03</v>
      </c>
      <c r="E34">
        <f t="shared" ca="1" si="9"/>
        <v>4.4999999999999998E-2</v>
      </c>
      <c r="F34">
        <f t="shared" ca="1" si="10"/>
        <v>0.97333333333333349</v>
      </c>
      <c r="G34">
        <f t="shared" ca="1" si="11"/>
        <v>0.05</v>
      </c>
      <c r="H34">
        <f t="shared" ca="1" si="12"/>
        <v>5.8333333333333327E-2</v>
      </c>
      <c r="I34">
        <f t="shared" ca="1" si="13"/>
        <v>5.1333333333333321E-2</v>
      </c>
      <c r="J34">
        <f t="shared" ca="1" si="14"/>
        <v>-3.9666666666666656E-2</v>
      </c>
      <c r="K34">
        <f t="shared" ca="1" si="15"/>
        <v>0.11883263367901234</v>
      </c>
      <c r="L34">
        <f t="shared" ca="1" si="8"/>
        <v>3.050214302218881</v>
      </c>
    </row>
    <row r="35" spans="1:12" x14ac:dyDescent="0.2">
      <c r="A35">
        <v>33</v>
      </c>
      <c r="B35">
        <f ca="1">Computations!$B$2+A35*$P$2/$P$1</f>
        <v>4.5524999999999996E-2</v>
      </c>
      <c r="C35">
        <f ca="1">LOOKUP(B35,Computations!$B$2:$B$100,Computations!$A$2:A$100)</f>
        <v>4</v>
      </c>
      <c r="D35">
        <f t="shared" ca="1" si="0"/>
        <v>4.4999999999999998E-2</v>
      </c>
      <c r="E35">
        <f t="shared" ca="1" si="9"/>
        <v>0.06</v>
      </c>
      <c r="F35">
        <f t="shared" ca="1" si="10"/>
        <v>3.4999999999999851E-2</v>
      </c>
      <c r="G35">
        <f t="shared" ca="1" si="11"/>
        <v>0.12</v>
      </c>
      <c r="H35">
        <f t="shared" ca="1" si="12"/>
        <v>4.1999999999999996E-2</v>
      </c>
      <c r="I35">
        <f t="shared" ca="1" si="13"/>
        <v>-3.1499999999999986E-2</v>
      </c>
      <c r="J35">
        <f t="shared" ca="1" si="14"/>
        <v>1.949999999999999E-2</v>
      </c>
      <c r="K35">
        <f t="shared" ca="1" si="15"/>
        <v>0.12143224856249998</v>
      </c>
      <c r="L35">
        <f t="shared" ca="1" si="8"/>
        <v>2.6760165398732054</v>
      </c>
    </row>
    <row r="36" spans="1:12" x14ac:dyDescent="0.2">
      <c r="A36">
        <v>34</v>
      </c>
      <c r="B36">
        <f ca="1">Computations!$B$2+A36*$P$2/$P$1</f>
        <v>4.6449999999999998E-2</v>
      </c>
      <c r="C36">
        <f ca="1">LOOKUP(B36,Computations!$B$2:$B$100,Computations!$A$2:A$100)</f>
        <v>4</v>
      </c>
      <c r="D36">
        <f t="shared" ca="1" si="0"/>
        <v>4.4999999999999998E-2</v>
      </c>
      <c r="E36">
        <f t="shared" ca="1" si="9"/>
        <v>0.06</v>
      </c>
      <c r="F36">
        <f t="shared" ca="1" si="10"/>
        <v>9.6666666666666665E-2</v>
      </c>
      <c r="G36">
        <f t="shared" ca="1" si="11"/>
        <v>0.12</v>
      </c>
      <c r="H36">
        <f t="shared" ca="1" si="12"/>
        <v>4.1999999999999996E-2</v>
      </c>
      <c r="I36">
        <f t="shared" ca="1" si="13"/>
        <v>-3.1499999999999986E-2</v>
      </c>
      <c r="J36">
        <f t="shared" ca="1" si="14"/>
        <v>1.949999999999999E-2</v>
      </c>
      <c r="K36">
        <f t="shared" ca="1" si="15"/>
        <v>0.12378326427777776</v>
      </c>
      <c r="L36">
        <f t="shared" ca="1" si="8"/>
        <v>2.435386944444454</v>
      </c>
    </row>
    <row r="37" spans="1:12" x14ac:dyDescent="0.2">
      <c r="A37">
        <v>35</v>
      </c>
      <c r="B37">
        <f ca="1">Computations!$B$2+A37*$P$2/$P$1</f>
        <v>4.7375E-2</v>
      </c>
      <c r="C37">
        <f ca="1">LOOKUP(B37,Computations!$B$2:$B$100,Computations!$A$2:A$100)</f>
        <v>4</v>
      </c>
      <c r="D37">
        <f t="shared" ca="1" si="0"/>
        <v>4.4999999999999998E-2</v>
      </c>
      <c r="E37">
        <f t="shared" ca="1" si="9"/>
        <v>0.06</v>
      </c>
      <c r="F37">
        <f t="shared" ca="1" si="10"/>
        <v>0.15833333333333349</v>
      </c>
      <c r="G37">
        <f t="shared" ca="1" si="11"/>
        <v>0.12</v>
      </c>
      <c r="H37">
        <f t="shared" ca="1" si="12"/>
        <v>4.1999999999999996E-2</v>
      </c>
      <c r="I37">
        <f t="shared" ca="1" si="13"/>
        <v>-3.1499999999999986E-2</v>
      </c>
      <c r="J37">
        <f t="shared" ca="1" si="14"/>
        <v>1.949999999999999E-2</v>
      </c>
      <c r="K37">
        <f t="shared" ca="1" si="15"/>
        <v>0.12593771440972223</v>
      </c>
      <c r="L37">
        <f t="shared" ca="1" si="8"/>
        <v>2.2377144444444568</v>
      </c>
    </row>
    <row r="38" spans="1:12" x14ac:dyDescent="0.2">
      <c r="A38">
        <v>36</v>
      </c>
      <c r="B38">
        <f ca="1">Computations!$B$2+A38*$P$2/$P$1</f>
        <v>4.8300000000000003E-2</v>
      </c>
      <c r="C38">
        <f ca="1">LOOKUP(B38,Computations!$B$2:$B$100,Computations!$A$2:A$100)</f>
        <v>4</v>
      </c>
      <c r="D38">
        <f t="shared" ca="1" si="0"/>
        <v>4.4999999999999998E-2</v>
      </c>
      <c r="E38">
        <f t="shared" ca="1" si="9"/>
        <v>0.06</v>
      </c>
      <c r="F38">
        <f t="shared" ca="1" si="10"/>
        <v>0.22000000000000031</v>
      </c>
      <c r="G38">
        <f t="shared" ca="1" si="11"/>
        <v>0.12</v>
      </c>
      <c r="H38">
        <f t="shared" ca="1" si="12"/>
        <v>4.1999999999999996E-2</v>
      </c>
      <c r="I38">
        <f t="shared" ca="1" si="13"/>
        <v>-3.1499999999999986E-2</v>
      </c>
      <c r="J38">
        <f t="shared" ca="1" si="14"/>
        <v>1.949999999999999E-2</v>
      </c>
      <c r="K38">
        <f t="shared" ca="1" si="15"/>
        <v>0.12792303600000002</v>
      </c>
      <c r="L38">
        <f t="shared" ca="1" si="8"/>
        <v>2.0697036111111129</v>
      </c>
    </row>
    <row r="39" spans="1:12" x14ac:dyDescent="0.2">
      <c r="A39">
        <v>37</v>
      </c>
      <c r="B39">
        <f ca="1">Computations!$B$2+A39*$P$2/$P$1</f>
        <v>4.9224999999999998E-2</v>
      </c>
      <c r="C39">
        <f ca="1">LOOKUP(B39,Computations!$B$2:$B$100,Computations!$A$2:A$100)</f>
        <v>4</v>
      </c>
      <c r="D39">
        <f t="shared" ca="1" si="0"/>
        <v>4.4999999999999998E-2</v>
      </c>
      <c r="E39">
        <f t="shared" ca="1" si="9"/>
        <v>0.06</v>
      </c>
      <c r="F39">
        <f t="shared" ca="1" si="10"/>
        <v>0.28166666666666668</v>
      </c>
      <c r="G39">
        <f t="shared" ca="1" si="11"/>
        <v>0.12</v>
      </c>
      <c r="H39">
        <f t="shared" ca="1" si="12"/>
        <v>4.1999999999999996E-2</v>
      </c>
      <c r="I39">
        <f t="shared" ca="1" si="13"/>
        <v>-3.1499999999999986E-2</v>
      </c>
      <c r="J39">
        <f t="shared" ca="1" si="14"/>
        <v>1.949999999999999E-2</v>
      </c>
      <c r="K39">
        <f t="shared" ca="1" si="15"/>
        <v>0.12976666609027779</v>
      </c>
      <c r="L39">
        <f t="shared" ca="1" si="8"/>
        <v>1.9313544444444442</v>
      </c>
    </row>
    <row r="40" spans="1:12" x14ac:dyDescent="0.2">
      <c r="A40">
        <v>38</v>
      </c>
      <c r="B40">
        <f ca="1">Computations!$B$2+A40*$P$2/$P$1</f>
        <v>5.015E-2</v>
      </c>
      <c r="C40">
        <f ca="1">LOOKUP(B40,Computations!$B$2:$B$100,Computations!$A$2:A$100)</f>
        <v>4</v>
      </c>
      <c r="D40">
        <f t="shared" ca="1" si="0"/>
        <v>4.4999999999999998E-2</v>
      </c>
      <c r="E40">
        <f t="shared" ca="1" si="9"/>
        <v>0.06</v>
      </c>
      <c r="F40">
        <f t="shared" ca="1" si="10"/>
        <v>0.34333333333333349</v>
      </c>
      <c r="G40">
        <f t="shared" ca="1" si="11"/>
        <v>0.12</v>
      </c>
      <c r="H40">
        <f t="shared" ca="1" si="12"/>
        <v>4.1999999999999996E-2</v>
      </c>
      <c r="I40">
        <f t="shared" ca="1" si="13"/>
        <v>-3.1499999999999986E-2</v>
      </c>
      <c r="J40">
        <f t="shared" ca="1" si="14"/>
        <v>1.949999999999999E-2</v>
      </c>
      <c r="K40">
        <f t="shared" ca="1" si="15"/>
        <v>0.13149604172222223</v>
      </c>
      <c r="L40">
        <f t="shared" ca="1" si="8"/>
        <v>1.8226669444444363</v>
      </c>
    </row>
    <row r="41" spans="1:12" x14ac:dyDescent="0.2">
      <c r="A41">
        <v>39</v>
      </c>
      <c r="B41">
        <f ca="1">Computations!$B$2+A41*$P$2/$P$1</f>
        <v>5.1074999999999995E-2</v>
      </c>
      <c r="C41">
        <f ca="1">LOOKUP(B41,Computations!$B$2:$B$100,Computations!$A$2:A$100)</f>
        <v>4</v>
      </c>
      <c r="D41">
        <f t="shared" ca="1" si="0"/>
        <v>4.4999999999999998E-2</v>
      </c>
      <c r="E41">
        <f t="shared" ca="1" si="9"/>
        <v>0.06</v>
      </c>
      <c r="F41">
        <f t="shared" ca="1" si="10"/>
        <v>0.4049999999999998</v>
      </c>
      <c r="G41">
        <f t="shared" ca="1" si="11"/>
        <v>0.12</v>
      </c>
      <c r="H41">
        <f t="shared" ca="1" si="12"/>
        <v>4.1999999999999996E-2</v>
      </c>
      <c r="I41">
        <f t="shared" ca="1" si="13"/>
        <v>-3.1499999999999986E-2</v>
      </c>
      <c r="J41">
        <f t="shared" ca="1" si="14"/>
        <v>1.949999999999999E-2</v>
      </c>
      <c r="K41">
        <f t="shared" ca="1" si="15"/>
        <v>0.13313859993749999</v>
      </c>
      <c r="L41">
        <f t="shared" ca="1" si="8"/>
        <v>1.7436411111110981</v>
      </c>
    </row>
    <row r="42" spans="1:12" x14ac:dyDescent="0.2">
      <c r="A42">
        <v>40</v>
      </c>
      <c r="B42">
        <f ca="1">Computations!$B$2+A42*$P$2/$P$1</f>
        <v>5.2000000000000005E-2</v>
      </c>
      <c r="C42">
        <f ca="1">LOOKUP(B42,Computations!$B$2:$B$100,Computations!$A$2:A$100)</f>
        <v>4</v>
      </c>
      <c r="D42">
        <f t="shared" ca="1" si="0"/>
        <v>4.4999999999999998E-2</v>
      </c>
      <c r="E42">
        <f t="shared" ca="1" si="9"/>
        <v>0.06</v>
      </c>
      <c r="F42">
        <f t="shared" ca="1" si="10"/>
        <v>0.46666666666666712</v>
      </c>
      <c r="G42">
        <f t="shared" ca="1" si="11"/>
        <v>0.12</v>
      </c>
      <c r="H42">
        <f t="shared" ca="1" si="12"/>
        <v>4.1999999999999996E-2</v>
      </c>
      <c r="I42">
        <f t="shared" ca="1" si="13"/>
        <v>-3.1499999999999986E-2</v>
      </c>
      <c r="J42">
        <f t="shared" ca="1" si="14"/>
        <v>1.949999999999999E-2</v>
      </c>
      <c r="K42">
        <f t="shared" ca="1" si="15"/>
        <v>0.13472177777777777</v>
      </c>
      <c r="L42">
        <f t="shared" ca="1" si="8"/>
        <v>1.6942769444444277</v>
      </c>
    </row>
    <row r="43" spans="1:12" x14ac:dyDescent="0.2">
      <c r="A43">
        <v>41</v>
      </c>
      <c r="B43">
        <f ca="1">Computations!$B$2+A43*$P$2/$P$1</f>
        <v>5.2925E-2</v>
      </c>
      <c r="C43">
        <f ca="1">LOOKUP(B43,Computations!$B$2:$B$100,Computations!$A$2:A$100)</f>
        <v>4</v>
      </c>
      <c r="D43">
        <f t="shared" ca="1" si="0"/>
        <v>4.4999999999999998E-2</v>
      </c>
      <c r="E43">
        <f t="shared" ca="1" si="9"/>
        <v>0.06</v>
      </c>
      <c r="F43">
        <f t="shared" ca="1" si="10"/>
        <v>0.52833333333333343</v>
      </c>
      <c r="G43">
        <f t="shared" ca="1" si="11"/>
        <v>0.12</v>
      </c>
      <c r="H43">
        <f t="shared" ca="1" si="12"/>
        <v>4.1999999999999996E-2</v>
      </c>
      <c r="I43">
        <f t="shared" ca="1" si="13"/>
        <v>-3.1499999999999986E-2</v>
      </c>
      <c r="J43">
        <f t="shared" ca="1" si="14"/>
        <v>1.949999999999999E-2</v>
      </c>
      <c r="K43">
        <f t="shared" ca="1" si="15"/>
        <v>0.13627301228472219</v>
      </c>
      <c r="L43">
        <f t="shared" ca="1" si="8"/>
        <v>1.6745744444444606</v>
      </c>
    </row>
    <row r="44" spans="1:12" x14ac:dyDescent="0.2">
      <c r="A44">
        <v>42</v>
      </c>
      <c r="B44">
        <f ca="1">Computations!$B$2+A44*$P$2/$P$1</f>
        <v>5.3849999999999995E-2</v>
      </c>
      <c r="C44">
        <f ca="1">LOOKUP(B44,Computations!$B$2:$B$100,Computations!$A$2:A$100)</f>
        <v>4</v>
      </c>
      <c r="D44">
        <f t="shared" ca="1" si="0"/>
        <v>4.4999999999999998E-2</v>
      </c>
      <c r="E44">
        <f t="shared" ca="1" si="9"/>
        <v>0.06</v>
      </c>
      <c r="F44">
        <f t="shared" ca="1" si="10"/>
        <v>0.58999999999999986</v>
      </c>
      <c r="G44">
        <f t="shared" ca="1" si="11"/>
        <v>0.12</v>
      </c>
      <c r="H44">
        <f t="shared" ca="1" si="12"/>
        <v>4.1999999999999996E-2</v>
      </c>
      <c r="I44">
        <f t="shared" ca="1" si="13"/>
        <v>-3.1499999999999986E-2</v>
      </c>
      <c r="J44">
        <f t="shared" ca="1" si="14"/>
        <v>1.949999999999999E-2</v>
      </c>
      <c r="K44">
        <f t="shared" ca="1" si="15"/>
        <v>0.13781974050000001</v>
      </c>
      <c r="L44">
        <f t="shared" ca="1" si="8"/>
        <v>1.6845336111111355</v>
      </c>
    </row>
    <row r="45" spans="1:12" x14ac:dyDescent="0.2">
      <c r="A45">
        <v>43</v>
      </c>
      <c r="B45">
        <f ca="1">Computations!$B$2+A45*$P$2/$P$1</f>
        <v>5.4774999999999997E-2</v>
      </c>
      <c r="C45">
        <f ca="1">LOOKUP(B45,Computations!$B$2:$B$100,Computations!$A$2:A$100)</f>
        <v>4</v>
      </c>
      <c r="D45">
        <f t="shared" ca="1" si="0"/>
        <v>4.4999999999999998E-2</v>
      </c>
      <c r="E45">
        <f t="shared" ca="1" si="9"/>
        <v>0.06</v>
      </c>
      <c r="F45">
        <f t="shared" ca="1" si="10"/>
        <v>0.65166666666666662</v>
      </c>
      <c r="G45">
        <f t="shared" ca="1" si="11"/>
        <v>0.12</v>
      </c>
      <c r="H45">
        <f t="shared" ca="1" si="12"/>
        <v>4.1999999999999996E-2</v>
      </c>
      <c r="I45">
        <f t="shared" ca="1" si="13"/>
        <v>-3.1499999999999986E-2</v>
      </c>
      <c r="J45">
        <f t="shared" ca="1" si="14"/>
        <v>1.949999999999999E-2</v>
      </c>
      <c r="K45">
        <f t="shared" ca="1" si="15"/>
        <v>0.13938939946527779</v>
      </c>
      <c r="L45">
        <f t="shared" ca="1" si="8"/>
        <v>1.7241544444444414</v>
      </c>
    </row>
    <row r="46" spans="1:12" x14ac:dyDescent="0.2">
      <c r="A46">
        <v>44</v>
      </c>
      <c r="B46">
        <f ca="1">Computations!$B$2+A46*$P$2/$P$1</f>
        <v>5.57E-2</v>
      </c>
      <c r="C46">
        <f ca="1">LOOKUP(B46,Computations!$B$2:$B$100,Computations!$A$2:A$100)</f>
        <v>4</v>
      </c>
      <c r="D46">
        <f t="shared" ca="1" si="0"/>
        <v>4.4999999999999998E-2</v>
      </c>
      <c r="E46">
        <f t="shared" ca="1" si="9"/>
        <v>0.06</v>
      </c>
      <c r="F46">
        <f t="shared" ca="1" si="10"/>
        <v>0.71333333333333349</v>
      </c>
      <c r="G46">
        <f t="shared" ca="1" si="11"/>
        <v>0.12</v>
      </c>
      <c r="H46">
        <f t="shared" ca="1" si="12"/>
        <v>4.1999999999999996E-2</v>
      </c>
      <c r="I46">
        <f t="shared" ca="1" si="13"/>
        <v>-3.1499999999999986E-2</v>
      </c>
      <c r="J46">
        <f t="shared" ca="1" si="14"/>
        <v>1.949999999999999E-2</v>
      </c>
      <c r="K46">
        <f t="shared" ca="1" si="15"/>
        <v>0.14100942622222223</v>
      </c>
      <c r="L46">
        <f t="shared" ca="1" si="8"/>
        <v>1.7934369444444511</v>
      </c>
    </row>
    <row r="47" spans="1:12" x14ac:dyDescent="0.2">
      <c r="A47">
        <v>45</v>
      </c>
      <c r="B47">
        <f ca="1">Computations!$B$2+A47*$P$2/$P$1</f>
        <v>5.6624999999999995E-2</v>
      </c>
      <c r="C47">
        <f ca="1">LOOKUP(B47,Computations!$B$2:$B$100,Computations!$A$2:A$100)</f>
        <v>4</v>
      </c>
      <c r="D47">
        <f t="shared" ca="1" si="0"/>
        <v>4.4999999999999998E-2</v>
      </c>
      <c r="E47">
        <f t="shared" ca="1" si="9"/>
        <v>0.06</v>
      </c>
      <c r="F47">
        <f t="shared" ca="1" si="10"/>
        <v>0.7749999999999998</v>
      </c>
      <c r="G47">
        <f t="shared" ca="1" si="11"/>
        <v>0.12</v>
      </c>
      <c r="H47">
        <f t="shared" ca="1" si="12"/>
        <v>4.1999999999999996E-2</v>
      </c>
      <c r="I47">
        <f t="shared" ca="1" si="13"/>
        <v>-3.1499999999999986E-2</v>
      </c>
      <c r="J47">
        <f t="shared" ca="1" si="14"/>
        <v>1.949999999999999E-2</v>
      </c>
      <c r="K47">
        <f t="shared" ca="1" si="15"/>
        <v>0.14270725781250002</v>
      </c>
      <c r="L47">
        <f t="shared" ca="1" si="8"/>
        <v>1.8923811111111004</v>
      </c>
    </row>
    <row r="48" spans="1:12" x14ac:dyDescent="0.2">
      <c r="A48">
        <v>46</v>
      </c>
      <c r="B48">
        <f ca="1">Computations!$B$2+A48*$P$2/$P$1</f>
        <v>5.7549999999999997E-2</v>
      </c>
      <c r="C48">
        <f ca="1">LOOKUP(B48,Computations!$B$2:$B$100,Computations!$A$2:A$100)</f>
        <v>4</v>
      </c>
      <c r="D48">
        <f t="shared" ca="1" si="0"/>
        <v>4.4999999999999998E-2</v>
      </c>
      <c r="E48">
        <f t="shared" ca="1" si="9"/>
        <v>0.06</v>
      </c>
      <c r="F48">
        <f t="shared" ca="1" si="10"/>
        <v>0.83666666666666656</v>
      </c>
      <c r="G48">
        <f t="shared" ca="1" si="11"/>
        <v>0.12</v>
      </c>
      <c r="H48">
        <f t="shared" ca="1" si="12"/>
        <v>4.1999999999999996E-2</v>
      </c>
      <c r="I48">
        <f t="shared" ca="1" si="13"/>
        <v>-3.1499999999999986E-2</v>
      </c>
      <c r="J48">
        <f t="shared" ca="1" si="14"/>
        <v>1.949999999999999E-2</v>
      </c>
      <c r="K48">
        <f t="shared" ca="1" si="15"/>
        <v>0.14451033127777776</v>
      </c>
      <c r="L48">
        <f t="shared" ca="1" si="8"/>
        <v>2.0209869444444331</v>
      </c>
    </row>
    <row r="49" spans="1:12" x14ac:dyDescent="0.2">
      <c r="A49">
        <v>47</v>
      </c>
      <c r="B49">
        <f ca="1">Computations!$B$2+A49*$P$2/$P$1</f>
        <v>5.8474999999999999E-2</v>
      </c>
      <c r="C49">
        <f ca="1">LOOKUP(B49,Computations!$B$2:$B$100,Computations!$A$2:A$100)</f>
        <v>4</v>
      </c>
      <c r="D49">
        <f t="shared" ca="1" si="0"/>
        <v>4.4999999999999998E-2</v>
      </c>
      <c r="E49">
        <f t="shared" ca="1" si="9"/>
        <v>0.06</v>
      </c>
      <c r="F49">
        <f t="shared" ca="1" si="10"/>
        <v>0.89833333333333343</v>
      </c>
      <c r="G49">
        <f t="shared" ca="1" si="11"/>
        <v>0.12</v>
      </c>
      <c r="H49">
        <f t="shared" ca="1" si="12"/>
        <v>4.1999999999999996E-2</v>
      </c>
      <c r="I49">
        <f t="shared" ca="1" si="13"/>
        <v>-3.1499999999999986E-2</v>
      </c>
      <c r="J49">
        <f t="shared" ca="1" si="14"/>
        <v>1.949999999999999E-2</v>
      </c>
      <c r="K49">
        <f t="shared" ca="1" si="15"/>
        <v>0.14644608365972223</v>
      </c>
      <c r="L49">
        <f t="shared" ca="1" si="8"/>
        <v>2.1792544444444419</v>
      </c>
    </row>
    <row r="50" spans="1:12" x14ac:dyDescent="0.2">
      <c r="A50">
        <v>48</v>
      </c>
      <c r="B50">
        <f ca="1">Computations!$B$2+A50*$P$2/$P$1</f>
        <v>5.9399999999999994E-2</v>
      </c>
      <c r="C50">
        <f ca="1">LOOKUP(B50,Computations!$B$2:$B$100,Computations!$A$2:A$100)</f>
        <v>4</v>
      </c>
      <c r="D50">
        <f t="shared" ca="1" si="0"/>
        <v>4.4999999999999998E-2</v>
      </c>
      <c r="E50">
        <f t="shared" ca="1" si="9"/>
        <v>0.06</v>
      </c>
      <c r="F50">
        <f t="shared" ca="1" si="10"/>
        <v>0.95999999999999974</v>
      </c>
      <c r="G50">
        <f t="shared" ca="1" si="11"/>
        <v>0.12</v>
      </c>
      <c r="H50">
        <f t="shared" ca="1" si="12"/>
        <v>4.1999999999999996E-2</v>
      </c>
      <c r="I50">
        <f t="shared" ca="1" si="13"/>
        <v>-3.1499999999999986E-2</v>
      </c>
      <c r="J50">
        <f t="shared" ca="1" si="14"/>
        <v>1.949999999999999E-2</v>
      </c>
      <c r="K50">
        <f t="shared" ca="1" si="15"/>
        <v>0.14854195199999998</v>
      </c>
      <c r="L50">
        <f t="shared" ca="1" si="8"/>
        <v>2.3623625717384038</v>
      </c>
    </row>
    <row r="51" spans="1:12" x14ac:dyDescent="0.2">
      <c r="A51">
        <v>49</v>
      </c>
      <c r="B51">
        <f ca="1">Computations!$B$2+A51*$P$2/$P$1</f>
        <v>6.0324999999999997E-2</v>
      </c>
      <c r="C51">
        <f ca="1">LOOKUP(B51,Computations!$B$2:$B$100,Computations!$A$2:A$100)</f>
        <v>5</v>
      </c>
      <c r="D51">
        <f t="shared" ca="1" si="0"/>
        <v>0.06</v>
      </c>
      <c r="E51">
        <f t="shared" ca="1" si="9"/>
        <v>7.4999999999999997E-2</v>
      </c>
      <c r="F51">
        <f t="shared" ca="1" si="10"/>
        <v>2.1666666666666595E-2</v>
      </c>
      <c r="G51">
        <f t="shared" ca="1" si="11"/>
        <v>0.15</v>
      </c>
      <c r="H51">
        <f t="shared" ca="1" si="12"/>
        <v>3.7499999999999999E-2</v>
      </c>
      <c r="I51">
        <f t="shared" ca="1" si="13"/>
        <v>8.3333333333333662E-3</v>
      </c>
      <c r="J51">
        <f t="shared" ca="1" si="14"/>
        <v>4.1666666666666519E-3</v>
      </c>
      <c r="K51">
        <f t="shared" ca="1" si="15"/>
        <v>0.15081645441743827</v>
      </c>
      <c r="L51">
        <f t="shared" ca="1" si="8"/>
        <v>2.5099079112445861</v>
      </c>
    </row>
    <row r="52" spans="1:12" x14ac:dyDescent="0.2">
      <c r="A52">
        <v>50</v>
      </c>
      <c r="B52">
        <f ca="1">Computations!$B$2+A52*$P$2/$P$1</f>
        <v>6.1249999999999999E-2</v>
      </c>
      <c r="C52">
        <f ca="1">LOOKUP(B52,Computations!$B$2:$B$100,Computations!$A$2:A$100)</f>
        <v>5</v>
      </c>
      <c r="D52">
        <f t="shared" ca="1" si="0"/>
        <v>0.06</v>
      </c>
      <c r="E52">
        <f t="shared" ca="1" si="9"/>
        <v>7.4999999999999997E-2</v>
      </c>
      <c r="F52">
        <f t="shared" ca="1" si="10"/>
        <v>8.3333333333333412E-2</v>
      </c>
      <c r="G52">
        <f t="shared" ca="1" si="11"/>
        <v>0.15</v>
      </c>
      <c r="H52">
        <f t="shared" ca="1" si="12"/>
        <v>3.7499999999999999E-2</v>
      </c>
      <c r="I52">
        <f t="shared" ca="1" si="13"/>
        <v>8.3333333333333662E-3</v>
      </c>
      <c r="J52">
        <f t="shared" ca="1" si="14"/>
        <v>4.1666666666666519E-3</v>
      </c>
      <c r="K52">
        <f t="shared" ca="1" si="15"/>
        <v>0.15318528163580247</v>
      </c>
      <c r="L52">
        <f t="shared" ca="1" si="8"/>
        <v>2.5994359567901273</v>
      </c>
    </row>
    <row r="53" spans="1:12" x14ac:dyDescent="0.2">
      <c r="A53">
        <v>51</v>
      </c>
      <c r="B53">
        <f ca="1">Computations!$B$2+A53*$P$2/$P$1</f>
        <v>6.2175000000000001E-2</v>
      </c>
      <c r="C53">
        <f ca="1">LOOKUP(B53,Computations!$B$2:$B$100,Computations!$A$2:A$100)</f>
        <v>5</v>
      </c>
      <c r="D53">
        <f t="shared" ca="1" si="0"/>
        <v>0.06</v>
      </c>
      <c r="E53">
        <f t="shared" ca="1" si="9"/>
        <v>7.4999999999999997E-2</v>
      </c>
      <c r="F53">
        <f t="shared" ca="1" si="10"/>
        <v>0.14500000000000024</v>
      </c>
      <c r="G53">
        <f t="shared" ca="1" si="11"/>
        <v>0.15</v>
      </c>
      <c r="H53">
        <f t="shared" ca="1" si="12"/>
        <v>3.7499999999999999E-2</v>
      </c>
      <c r="I53">
        <f t="shared" ca="1" si="13"/>
        <v>8.3333333333333662E-3</v>
      </c>
      <c r="J53">
        <f t="shared" ca="1" si="14"/>
        <v>4.1666666666666519E-3</v>
      </c>
      <c r="K53">
        <f t="shared" ca="1" si="15"/>
        <v>0.15562541093750001</v>
      </c>
      <c r="L53">
        <f t="shared" ca="1" si="8"/>
        <v>2.6796882716049293</v>
      </c>
    </row>
    <row r="54" spans="1:12" x14ac:dyDescent="0.2">
      <c r="A54">
        <v>52</v>
      </c>
      <c r="B54">
        <f ca="1">Computations!$B$2+A54*$P$2/$P$1</f>
        <v>6.3099999999999989E-2</v>
      </c>
      <c r="C54">
        <f ca="1">LOOKUP(B54,Computations!$B$2:$B$100,Computations!$A$2:A$100)</f>
        <v>5</v>
      </c>
      <c r="D54">
        <f t="shared" ca="1" si="0"/>
        <v>0.06</v>
      </c>
      <c r="E54">
        <f t="shared" ca="1" si="9"/>
        <v>7.4999999999999997E-2</v>
      </c>
      <c r="F54">
        <f t="shared" ca="1" si="10"/>
        <v>0.20666666666666611</v>
      </c>
      <c r="G54">
        <f t="shared" ca="1" si="11"/>
        <v>0.15</v>
      </c>
      <c r="H54">
        <f t="shared" ca="1" si="12"/>
        <v>3.7499999999999999E-2</v>
      </c>
      <c r="I54">
        <f t="shared" ca="1" si="13"/>
        <v>8.3333333333333662E-3</v>
      </c>
      <c r="J54">
        <f t="shared" ca="1" si="14"/>
        <v>4.1666666666666519E-3</v>
      </c>
      <c r="K54">
        <f t="shared" ca="1" si="15"/>
        <v>0.15814270493827157</v>
      </c>
      <c r="L54">
        <f t="shared" ca="1" si="8"/>
        <v>2.7662785493826996</v>
      </c>
    </row>
    <row r="55" spans="1:12" x14ac:dyDescent="0.2">
      <c r="A55">
        <v>53</v>
      </c>
      <c r="B55">
        <f ca="1">Computations!$B$2+A55*$P$2/$P$1</f>
        <v>6.4024999999999999E-2</v>
      </c>
      <c r="C55">
        <f ca="1">LOOKUP(B55,Computations!$B$2:$B$100,Computations!$A$2:A$100)</f>
        <v>5</v>
      </c>
      <c r="D55">
        <f t="shared" ca="1" si="0"/>
        <v>0.06</v>
      </c>
      <c r="E55">
        <f t="shared" ca="1" si="9"/>
        <v>7.4999999999999997E-2</v>
      </c>
      <c r="F55">
        <f t="shared" ca="1" si="10"/>
        <v>0.26833333333333342</v>
      </c>
      <c r="G55">
        <f t="shared" ca="1" si="11"/>
        <v>0.15</v>
      </c>
      <c r="H55">
        <f t="shared" ca="1" si="12"/>
        <v>3.7499999999999999E-2</v>
      </c>
      <c r="I55">
        <f t="shared" ca="1" si="13"/>
        <v>8.3333333333333662E-3</v>
      </c>
      <c r="J55">
        <f t="shared" ca="1" si="14"/>
        <v>4.1666666666666519E-3</v>
      </c>
      <c r="K55">
        <f t="shared" ca="1" si="15"/>
        <v>0.160743026253858</v>
      </c>
      <c r="L55">
        <f t="shared" ca="1" si="8"/>
        <v>2.8592067901234608</v>
      </c>
    </row>
    <row r="56" spans="1:12" x14ac:dyDescent="0.2">
      <c r="A56">
        <v>54</v>
      </c>
      <c r="B56">
        <f ca="1">Computations!$B$2+A56*$P$2/$P$1</f>
        <v>6.4950000000000008E-2</v>
      </c>
      <c r="C56">
        <f ca="1">LOOKUP(B56,Computations!$B$2:$B$100,Computations!$A$2:A$100)</f>
        <v>5</v>
      </c>
      <c r="D56">
        <f t="shared" ca="1" si="0"/>
        <v>0.06</v>
      </c>
      <c r="E56">
        <f t="shared" ca="1" si="9"/>
        <v>7.4999999999999997E-2</v>
      </c>
      <c r="F56">
        <f t="shared" ca="1" si="10"/>
        <v>0.33000000000000068</v>
      </c>
      <c r="G56">
        <f t="shared" ca="1" si="11"/>
        <v>0.15</v>
      </c>
      <c r="H56">
        <f t="shared" ca="1" si="12"/>
        <v>3.7499999999999999E-2</v>
      </c>
      <c r="I56">
        <f t="shared" ca="1" si="13"/>
        <v>8.3333333333333662E-3</v>
      </c>
      <c r="J56">
        <f t="shared" ca="1" si="14"/>
        <v>4.1666666666666519E-3</v>
      </c>
      <c r="K56">
        <f t="shared" ca="1" si="15"/>
        <v>0.16343223750000002</v>
      </c>
      <c r="L56">
        <f t="shared" ca="1" si="8"/>
        <v>2.9584729938271832</v>
      </c>
    </row>
    <row r="57" spans="1:12" x14ac:dyDescent="0.2">
      <c r="A57">
        <v>55</v>
      </c>
      <c r="B57">
        <f ca="1">Computations!$B$2+A57*$P$2/$P$1</f>
        <v>6.5875000000000003E-2</v>
      </c>
      <c r="C57">
        <f ca="1">LOOKUP(B57,Computations!$B$2:$B$100,Computations!$A$2:A$100)</f>
        <v>5</v>
      </c>
      <c r="D57">
        <f t="shared" ca="1" si="0"/>
        <v>0.06</v>
      </c>
      <c r="E57">
        <f t="shared" ca="1" si="9"/>
        <v>7.4999999999999997E-2</v>
      </c>
      <c r="F57">
        <f t="shared" ca="1" si="10"/>
        <v>0.39166666666666705</v>
      </c>
      <c r="G57">
        <f t="shared" ca="1" si="11"/>
        <v>0.15</v>
      </c>
      <c r="H57">
        <f t="shared" ca="1" si="12"/>
        <v>3.7499999999999999E-2</v>
      </c>
      <c r="I57">
        <f t="shared" ca="1" si="13"/>
        <v>8.3333333333333662E-3</v>
      </c>
      <c r="J57">
        <f t="shared" ca="1" si="14"/>
        <v>4.1666666666666519E-3</v>
      </c>
      <c r="K57">
        <f t="shared" ca="1" si="15"/>
        <v>0.1662162012924383</v>
      </c>
      <c r="L57">
        <f t="shared" ca="1" si="8"/>
        <v>3.0640771604938304</v>
      </c>
    </row>
    <row r="58" spans="1:12" x14ac:dyDescent="0.2">
      <c r="A58">
        <v>56</v>
      </c>
      <c r="B58">
        <f ca="1">Computations!$B$2+A58*$P$2/$P$1</f>
        <v>6.6799999999999998E-2</v>
      </c>
      <c r="C58">
        <f ca="1">LOOKUP(B58,Computations!$B$2:$B$100,Computations!$A$2:A$100)</f>
        <v>5</v>
      </c>
      <c r="D58">
        <f t="shared" ca="1" si="0"/>
        <v>0.06</v>
      </c>
      <c r="E58">
        <f t="shared" ca="1" si="9"/>
        <v>7.4999999999999997E-2</v>
      </c>
      <c r="F58">
        <f t="shared" ca="1" si="10"/>
        <v>0.45333333333333337</v>
      </c>
      <c r="G58">
        <f t="shared" ca="1" si="11"/>
        <v>0.15</v>
      </c>
      <c r="H58">
        <f t="shared" ca="1" si="12"/>
        <v>3.7499999999999999E-2</v>
      </c>
      <c r="I58">
        <f t="shared" ca="1" si="13"/>
        <v>8.3333333333333662E-3</v>
      </c>
      <c r="J58">
        <f t="shared" ca="1" si="14"/>
        <v>4.1666666666666519E-3</v>
      </c>
      <c r="K58">
        <f t="shared" ca="1" si="15"/>
        <v>0.16910078024691358</v>
      </c>
      <c r="L58">
        <f t="shared" ca="1" si="8"/>
        <v>3.1760192901234596</v>
      </c>
    </row>
    <row r="59" spans="1:12" x14ac:dyDescent="0.2">
      <c r="A59">
        <v>57</v>
      </c>
      <c r="B59">
        <f ca="1">Computations!$B$2+A59*$P$2/$P$1</f>
        <v>6.7725000000000007E-2</v>
      </c>
      <c r="C59">
        <f ca="1">LOOKUP(B59,Computations!$B$2:$B$100,Computations!$A$2:A$100)</f>
        <v>5</v>
      </c>
      <c r="D59">
        <f t="shared" ca="1" si="0"/>
        <v>0.06</v>
      </c>
      <c r="E59">
        <f t="shared" ca="1" si="9"/>
        <v>7.4999999999999997E-2</v>
      </c>
      <c r="F59">
        <f t="shared" ca="1" si="10"/>
        <v>0.51500000000000068</v>
      </c>
      <c r="G59">
        <f t="shared" ca="1" si="11"/>
        <v>0.15</v>
      </c>
      <c r="H59">
        <f t="shared" ca="1" si="12"/>
        <v>3.7499999999999999E-2</v>
      </c>
      <c r="I59">
        <f t="shared" ca="1" si="13"/>
        <v>8.3333333333333662E-3</v>
      </c>
      <c r="J59">
        <f t="shared" ca="1" si="14"/>
        <v>4.1666666666666519E-3</v>
      </c>
      <c r="K59">
        <f t="shared" ca="1" si="15"/>
        <v>0.17209183697916672</v>
      </c>
      <c r="L59">
        <f t="shared" ca="1" si="8"/>
        <v>3.2942993827160496</v>
      </c>
    </row>
    <row r="60" spans="1:12" x14ac:dyDescent="0.2">
      <c r="A60">
        <v>58</v>
      </c>
      <c r="B60">
        <f ca="1">Computations!$B$2+A60*$P$2/$P$1</f>
        <v>6.8650000000000003E-2</v>
      </c>
      <c r="C60">
        <f ca="1">LOOKUP(B60,Computations!$B$2:$B$100,Computations!$A$2:A$100)</f>
        <v>5</v>
      </c>
      <c r="D60">
        <f t="shared" ca="1" si="0"/>
        <v>0.06</v>
      </c>
      <c r="E60">
        <f t="shared" ca="1" si="9"/>
        <v>7.4999999999999997E-2</v>
      </c>
      <c r="F60">
        <f t="shared" ca="1" si="10"/>
        <v>0.57666666666666699</v>
      </c>
      <c r="G60">
        <f t="shared" ca="1" si="11"/>
        <v>0.15</v>
      </c>
      <c r="H60">
        <f t="shared" ca="1" si="12"/>
        <v>3.7499999999999999E-2</v>
      </c>
      <c r="I60">
        <f t="shared" ca="1" si="13"/>
        <v>8.3333333333333662E-3</v>
      </c>
      <c r="J60">
        <f t="shared" ca="1" si="14"/>
        <v>4.1666666666666519E-3</v>
      </c>
      <c r="K60">
        <f t="shared" ca="1" si="15"/>
        <v>0.17519523410493829</v>
      </c>
      <c r="L60">
        <f t="shared" ca="1" si="8"/>
        <v>3.4189174382716034</v>
      </c>
    </row>
    <row r="61" spans="1:12" x14ac:dyDescent="0.2">
      <c r="A61">
        <v>59</v>
      </c>
      <c r="B61">
        <f ca="1">Computations!$B$2+A61*$P$2/$P$1</f>
        <v>6.9574999999999998E-2</v>
      </c>
      <c r="C61">
        <f ca="1">LOOKUP(B61,Computations!$B$2:$B$100,Computations!$A$2:A$100)</f>
        <v>5</v>
      </c>
      <c r="D61">
        <f t="shared" ca="1" si="0"/>
        <v>0.06</v>
      </c>
      <c r="E61">
        <f t="shared" ca="1" si="9"/>
        <v>7.4999999999999997E-2</v>
      </c>
      <c r="F61">
        <f t="shared" ca="1" si="10"/>
        <v>0.63833333333333342</v>
      </c>
      <c r="G61">
        <f t="shared" ca="1" si="11"/>
        <v>0.15</v>
      </c>
      <c r="H61">
        <f t="shared" ca="1" si="12"/>
        <v>3.7499999999999999E-2</v>
      </c>
      <c r="I61">
        <f t="shared" ca="1" si="13"/>
        <v>8.3333333333333662E-3</v>
      </c>
      <c r="J61">
        <f t="shared" ca="1" si="14"/>
        <v>4.1666666666666519E-3</v>
      </c>
      <c r="K61">
        <f t="shared" ca="1" si="15"/>
        <v>0.17841683423996915</v>
      </c>
      <c r="L61">
        <f t="shared" ca="1" si="8"/>
        <v>3.549873456790134</v>
      </c>
    </row>
    <row r="62" spans="1:12" x14ac:dyDescent="0.2">
      <c r="A62">
        <v>60</v>
      </c>
      <c r="B62">
        <f ca="1">Computations!$B$2+A62*$P$2/$P$1</f>
        <v>7.0500000000000007E-2</v>
      </c>
      <c r="C62">
        <f ca="1">LOOKUP(B62,Computations!$B$2:$B$100,Computations!$A$2:A$100)</f>
        <v>5</v>
      </c>
      <c r="D62">
        <f t="shared" ca="1" si="0"/>
        <v>0.06</v>
      </c>
      <c r="E62">
        <f t="shared" ca="1" si="9"/>
        <v>7.4999999999999997E-2</v>
      </c>
      <c r="F62">
        <f t="shared" ca="1" si="10"/>
        <v>0.70000000000000062</v>
      </c>
      <c r="G62">
        <f t="shared" ca="1" si="11"/>
        <v>0.15</v>
      </c>
      <c r="H62">
        <f t="shared" ca="1" si="12"/>
        <v>3.7499999999999999E-2</v>
      </c>
      <c r="I62">
        <f t="shared" ca="1" si="13"/>
        <v>8.3333333333333662E-3</v>
      </c>
      <c r="J62">
        <f t="shared" ca="1" si="14"/>
        <v>4.1666666666666519E-3</v>
      </c>
      <c r="K62">
        <f t="shared" ca="1" si="15"/>
        <v>0.18176250000000005</v>
      </c>
      <c r="L62">
        <f t="shared" ca="1" si="8"/>
        <v>3.6871674382716133</v>
      </c>
    </row>
    <row r="63" spans="1:12" x14ac:dyDescent="0.2">
      <c r="A63">
        <v>61</v>
      </c>
      <c r="B63">
        <f ca="1">Computations!$B$2+A63*$P$2/$P$1</f>
        <v>7.1425000000000002E-2</v>
      </c>
      <c r="C63">
        <f ca="1">LOOKUP(B63,Computations!$B$2:$B$100,Computations!$A$2:A$100)</f>
        <v>5</v>
      </c>
      <c r="D63">
        <f t="shared" ca="1" si="0"/>
        <v>0.06</v>
      </c>
      <c r="E63">
        <f t="shared" ca="1" si="9"/>
        <v>7.4999999999999997E-2</v>
      </c>
      <c r="F63">
        <f t="shared" ca="1" si="10"/>
        <v>0.76166666666666705</v>
      </c>
      <c r="G63">
        <f t="shared" ca="1" si="11"/>
        <v>0.15</v>
      </c>
      <c r="H63">
        <f t="shared" ca="1" si="12"/>
        <v>3.7499999999999999E-2</v>
      </c>
      <c r="I63">
        <f t="shared" ca="1" si="13"/>
        <v>8.3333333333333662E-3</v>
      </c>
      <c r="J63">
        <f t="shared" ca="1" si="14"/>
        <v>4.1666666666666519E-3</v>
      </c>
      <c r="K63">
        <f t="shared" ca="1" si="15"/>
        <v>0.18523809400077165</v>
      </c>
      <c r="L63">
        <f t="shared" ca="1" si="8"/>
        <v>3.830799382716044</v>
      </c>
    </row>
    <row r="64" spans="1:12" x14ac:dyDescent="0.2">
      <c r="A64">
        <v>62</v>
      </c>
      <c r="B64">
        <f ca="1">Computations!$B$2+A64*$P$2/$P$1</f>
        <v>7.2349999999999998E-2</v>
      </c>
      <c r="C64">
        <f ca="1">LOOKUP(B64,Computations!$B$2:$B$100,Computations!$A$2:A$100)</f>
        <v>5</v>
      </c>
      <c r="D64">
        <f t="shared" ca="1" si="0"/>
        <v>0.06</v>
      </c>
      <c r="E64">
        <f t="shared" ca="1" si="9"/>
        <v>7.4999999999999997E-2</v>
      </c>
      <c r="F64">
        <f t="shared" ca="1" si="10"/>
        <v>0.82333333333333336</v>
      </c>
      <c r="G64">
        <f t="shared" ca="1" si="11"/>
        <v>0.15</v>
      </c>
      <c r="H64">
        <f t="shared" ca="1" si="12"/>
        <v>3.7499999999999999E-2</v>
      </c>
      <c r="I64">
        <f t="shared" ca="1" si="13"/>
        <v>8.3333333333333662E-3</v>
      </c>
      <c r="J64">
        <f t="shared" ca="1" si="14"/>
        <v>4.1666666666666519E-3</v>
      </c>
      <c r="K64">
        <f t="shared" ca="1" si="15"/>
        <v>0.18884947885802469</v>
      </c>
      <c r="L64">
        <f t="shared" ca="1" si="8"/>
        <v>3.9807692901234453</v>
      </c>
    </row>
    <row r="65" spans="1:12" x14ac:dyDescent="0.2">
      <c r="A65">
        <v>63</v>
      </c>
      <c r="B65">
        <f ca="1">Computations!$B$2+A65*$P$2/$P$1</f>
        <v>7.3274999999999993E-2</v>
      </c>
      <c r="C65">
        <f ca="1">LOOKUP(B65,Computations!$B$2:$B$100,Computations!$A$2:A$100)</f>
        <v>5</v>
      </c>
      <c r="D65">
        <f t="shared" ca="1" si="0"/>
        <v>0.06</v>
      </c>
      <c r="E65">
        <f t="shared" ca="1" si="9"/>
        <v>7.4999999999999997E-2</v>
      </c>
      <c r="F65">
        <f t="shared" ca="1" si="10"/>
        <v>0.88499999999999968</v>
      </c>
      <c r="G65">
        <f t="shared" ca="1" si="11"/>
        <v>0.15</v>
      </c>
      <c r="H65">
        <f t="shared" ca="1" si="12"/>
        <v>3.7499999999999999E-2</v>
      </c>
      <c r="I65">
        <f t="shared" ca="1" si="13"/>
        <v>8.3333333333333662E-3</v>
      </c>
      <c r="J65">
        <f t="shared" ca="1" si="14"/>
        <v>4.1666666666666519E-3</v>
      </c>
      <c r="K65">
        <f t="shared" ca="1" si="15"/>
        <v>0.19260251718749999</v>
      </c>
      <c r="L65">
        <f t="shared" ca="1" si="8"/>
        <v>4.1370771604938286</v>
      </c>
    </row>
    <row r="66" spans="1:12" x14ac:dyDescent="0.2">
      <c r="A66">
        <v>64</v>
      </c>
      <c r="B66">
        <f ca="1">Computations!$B$2+A66*$P$2/$P$1</f>
        <v>7.4200000000000002E-2</v>
      </c>
      <c r="C66">
        <f ca="1">LOOKUP(B66,Computations!$B$2:$B$100,Computations!$A$2:A$100)</f>
        <v>5</v>
      </c>
      <c r="D66">
        <f t="shared" ca="1" si="0"/>
        <v>0.06</v>
      </c>
      <c r="E66">
        <f t="shared" ca="1" si="9"/>
        <v>7.4999999999999997E-2</v>
      </c>
      <c r="F66">
        <f t="shared" ca="1" si="10"/>
        <v>0.94666666666666699</v>
      </c>
      <c r="G66">
        <f t="shared" ca="1" si="11"/>
        <v>0.15</v>
      </c>
      <c r="H66">
        <f t="shared" ca="1" si="12"/>
        <v>3.7499999999999999E-2</v>
      </c>
      <c r="I66">
        <f t="shared" ca="1" si="13"/>
        <v>8.3333333333333662E-3</v>
      </c>
      <c r="J66">
        <f t="shared" ca="1" si="14"/>
        <v>4.1666666666666519E-3</v>
      </c>
      <c r="K66">
        <f t="shared" ca="1" si="15"/>
        <v>0.1965030716049383</v>
      </c>
      <c r="L66">
        <f t="shared" ca="1" si="8"/>
        <v>4.3001909096596567</v>
      </c>
    </row>
    <row r="67" spans="1:12" x14ac:dyDescent="0.2">
      <c r="A67">
        <v>65</v>
      </c>
      <c r="B67">
        <f ca="1">Computations!$B$2+A67*$P$2/$P$1</f>
        <v>7.5124999999999997E-2</v>
      </c>
      <c r="C67">
        <f ca="1">LOOKUP(B67,Computations!$B$2:$B$100,Computations!$A$2:A$100)</f>
        <v>6</v>
      </c>
      <c r="D67">
        <f t="shared" ref="D67:D130" ca="1" si="16">INDIRECT("Computations!B"&amp;C67)</f>
        <v>7.4999999999999997E-2</v>
      </c>
      <c r="E67">
        <f t="shared" ca="1" si="9"/>
        <v>0.09</v>
      </c>
      <c r="F67">
        <f t="shared" ca="1" si="10"/>
        <v>8.3333333333333419E-3</v>
      </c>
      <c r="G67">
        <f t="shared" ca="1" si="11"/>
        <v>0.2</v>
      </c>
      <c r="H67">
        <f t="shared" ca="1" si="12"/>
        <v>6.666666666666668E-2</v>
      </c>
      <c r="I67">
        <f t="shared" ca="1" si="13"/>
        <v>3.3333333333333298E-2</v>
      </c>
      <c r="J67">
        <f t="shared" ca="1" si="14"/>
        <v>0</v>
      </c>
      <c r="K67">
        <f t="shared" ca="1" si="15"/>
        <v>0.20055787037037037</v>
      </c>
      <c r="L67">
        <f t="shared" ca="1" si="8"/>
        <v>4.5010423757090443</v>
      </c>
    </row>
    <row r="68" spans="1:12" x14ac:dyDescent="0.2">
      <c r="A68">
        <v>66</v>
      </c>
      <c r="B68">
        <f ca="1">Computations!$B$2+A68*$P$2/$P$1</f>
        <v>7.6049999999999993E-2</v>
      </c>
      <c r="C68">
        <f ca="1">LOOKUP(B68,Computations!$B$2:$B$100,Computations!$A$2:A$100)</f>
        <v>6</v>
      </c>
      <c r="D68">
        <f t="shared" ca="1" si="16"/>
        <v>7.4999999999999997E-2</v>
      </c>
      <c r="E68">
        <f t="shared" ca="1" si="9"/>
        <v>0.09</v>
      </c>
      <c r="F68">
        <f t="shared" ca="1" si="10"/>
        <v>6.9999999999999701E-2</v>
      </c>
      <c r="G68">
        <f t="shared" ca="1" si="11"/>
        <v>0.2</v>
      </c>
      <c r="H68">
        <f t="shared" ca="1" si="12"/>
        <v>6.666666666666668E-2</v>
      </c>
      <c r="I68">
        <f t="shared" ca="1" si="13"/>
        <v>3.3333333333333298E-2</v>
      </c>
      <c r="J68">
        <f t="shared" ca="1" si="14"/>
        <v>0</v>
      </c>
      <c r="K68">
        <f t="shared" ca="1" si="15"/>
        <v>0.20482999999999998</v>
      </c>
      <c r="L68">
        <f t="shared" ref="L68:L131" ca="1" si="17">(K69-K67)/(B69-B67)</f>
        <v>4.7555555555555582</v>
      </c>
    </row>
    <row r="69" spans="1:12" x14ac:dyDescent="0.2">
      <c r="A69">
        <v>67</v>
      </c>
      <c r="B69">
        <f ca="1">Computations!$B$2+A69*$P$2/$P$1</f>
        <v>7.6974999999999988E-2</v>
      </c>
      <c r="C69">
        <f ca="1">LOOKUP(B69,Computations!$B$2:$B$100,Computations!$A$2:A$100)</f>
        <v>6</v>
      </c>
      <c r="D69">
        <f t="shared" ca="1" si="16"/>
        <v>7.4999999999999997E-2</v>
      </c>
      <c r="E69">
        <f t="shared" ca="1" si="9"/>
        <v>0.09</v>
      </c>
      <c r="F69">
        <f t="shared" ca="1" si="10"/>
        <v>0.13166666666666604</v>
      </c>
      <c r="G69">
        <f t="shared" ca="1" si="11"/>
        <v>0.2</v>
      </c>
      <c r="H69">
        <f t="shared" ca="1" si="12"/>
        <v>6.666666666666668E-2</v>
      </c>
      <c r="I69">
        <f t="shared" ca="1" si="13"/>
        <v>3.3333333333333298E-2</v>
      </c>
      <c r="J69">
        <f t="shared" ca="1" si="14"/>
        <v>0</v>
      </c>
      <c r="K69">
        <f t="shared" ca="1" si="15"/>
        <v>0.20935564814814811</v>
      </c>
      <c r="L69">
        <f t="shared" ca="1" si="17"/>
        <v>5.0296296296296363</v>
      </c>
    </row>
    <row r="70" spans="1:12" x14ac:dyDescent="0.2">
      <c r="A70">
        <v>68</v>
      </c>
      <c r="B70">
        <f ca="1">Computations!$B$2+A70*$P$2/$P$1</f>
        <v>7.7899999999999997E-2</v>
      </c>
      <c r="C70">
        <f ca="1">LOOKUP(B70,Computations!$B$2:$B$100,Computations!$A$2:A$100)</f>
        <v>6</v>
      </c>
      <c r="D70">
        <f t="shared" ca="1" si="16"/>
        <v>7.4999999999999997E-2</v>
      </c>
      <c r="E70">
        <f t="shared" ca="1" si="9"/>
        <v>0.09</v>
      </c>
      <c r="F70">
        <f t="shared" ca="1" si="10"/>
        <v>0.19333333333333333</v>
      </c>
      <c r="G70">
        <f t="shared" ca="1" si="11"/>
        <v>0.2</v>
      </c>
      <c r="H70">
        <f t="shared" ca="1" si="12"/>
        <v>6.666666666666668E-2</v>
      </c>
      <c r="I70">
        <f t="shared" ca="1" si="13"/>
        <v>3.3333333333333298E-2</v>
      </c>
      <c r="J70">
        <f t="shared" ca="1" si="14"/>
        <v>0</v>
      </c>
      <c r="K70">
        <f t="shared" ca="1" si="15"/>
        <v>0.21413481481481483</v>
      </c>
      <c r="L70">
        <f t="shared" ca="1" si="17"/>
        <v>5.30370370370371</v>
      </c>
    </row>
    <row r="71" spans="1:12" x14ac:dyDescent="0.2">
      <c r="A71">
        <v>69</v>
      </c>
      <c r="B71">
        <f ca="1">Computations!$B$2+A71*$P$2/$P$1</f>
        <v>7.8825000000000006E-2</v>
      </c>
      <c r="C71">
        <f ca="1">LOOKUP(B71,Computations!$B$2:$B$100,Computations!$A$2:A$100)</f>
        <v>6</v>
      </c>
      <c r="D71">
        <f t="shared" ca="1" si="16"/>
        <v>7.4999999999999997E-2</v>
      </c>
      <c r="E71">
        <f t="shared" ca="1" si="9"/>
        <v>0.09</v>
      </c>
      <c r="F71">
        <f t="shared" ca="1" si="10"/>
        <v>0.25500000000000062</v>
      </c>
      <c r="G71">
        <f t="shared" ca="1" si="11"/>
        <v>0.2</v>
      </c>
      <c r="H71">
        <f t="shared" ca="1" si="12"/>
        <v>6.666666666666668E-2</v>
      </c>
      <c r="I71">
        <f t="shared" ca="1" si="13"/>
        <v>3.3333333333333298E-2</v>
      </c>
      <c r="J71">
        <f t="shared" ca="1" si="14"/>
        <v>0</v>
      </c>
      <c r="K71">
        <f t="shared" ca="1" si="15"/>
        <v>0.21916750000000007</v>
      </c>
      <c r="L71">
        <f t="shared" ca="1" si="17"/>
        <v>5.5777777777777731</v>
      </c>
    </row>
    <row r="72" spans="1:12" x14ac:dyDescent="0.2">
      <c r="A72">
        <v>70</v>
      </c>
      <c r="B72">
        <f ca="1">Computations!$B$2+A72*$P$2/$P$1</f>
        <v>7.9750000000000001E-2</v>
      </c>
      <c r="C72">
        <f ca="1">LOOKUP(B72,Computations!$B$2:$B$100,Computations!$A$2:A$100)</f>
        <v>6</v>
      </c>
      <c r="D72">
        <f t="shared" ca="1" si="16"/>
        <v>7.4999999999999997E-2</v>
      </c>
      <c r="E72">
        <f t="shared" ca="1" si="9"/>
        <v>0.09</v>
      </c>
      <c r="F72">
        <f t="shared" ca="1" si="10"/>
        <v>0.31666666666666698</v>
      </c>
      <c r="G72">
        <f t="shared" ca="1" si="11"/>
        <v>0.2</v>
      </c>
      <c r="H72">
        <f t="shared" ca="1" si="12"/>
        <v>6.666666666666668E-2</v>
      </c>
      <c r="I72">
        <f t="shared" ca="1" si="13"/>
        <v>3.3333333333333298E-2</v>
      </c>
      <c r="J72">
        <f t="shared" ca="1" si="14"/>
        <v>0</v>
      </c>
      <c r="K72">
        <f t="shared" ca="1" si="15"/>
        <v>0.22445370370370374</v>
      </c>
      <c r="L72">
        <f t="shared" ca="1" si="17"/>
        <v>5.8518518518518556</v>
      </c>
    </row>
    <row r="73" spans="1:12" x14ac:dyDescent="0.2">
      <c r="A73">
        <v>71</v>
      </c>
      <c r="B73">
        <f ca="1">Computations!$B$2+A73*$P$2/$P$1</f>
        <v>8.0674999999999997E-2</v>
      </c>
      <c r="C73">
        <f ca="1">LOOKUP(B73,Computations!$B$2:$B$100,Computations!$A$2:A$100)</f>
        <v>6</v>
      </c>
      <c r="D73">
        <f t="shared" ca="1" si="16"/>
        <v>7.4999999999999997E-2</v>
      </c>
      <c r="E73">
        <f t="shared" ca="1" si="9"/>
        <v>0.09</v>
      </c>
      <c r="F73">
        <f t="shared" ca="1" si="10"/>
        <v>0.3783333333333333</v>
      </c>
      <c r="G73">
        <f t="shared" ca="1" si="11"/>
        <v>0.2</v>
      </c>
      <c r="H73">
        <f t="shared" ca="1" si="12"/>
        <v>6.666666666666668E-2</v>
      </c>
      <c r="I73">
        <f t="shared" ca="1" si="13"/>
        <v>3.3333333333333298E-2</v>
      </c>
      <c r="J73">
        <f t="shared" ca="1" si="14"/>
        <v>0</v>
      </c>
      <c r="K73">
        <f t="shared" ca="1" si="15"/>
        <v>0.22999342592592595</v>
      </c>
      <c r="L73">
        <f t="shared" ca="1" si="17"/>
        <v>6.1259259259259258</v>
      </c>
    </row>
    <row r="74" spans="1:12" x14ac:dyDescent="0.2">
      <c r="A74">
        <v>72</v>
      </c>
      <c r="B74">
        <f ca="1">Computations!$B$2+A74*$P$2/$P$1</f>
        <v>8.1600000000000006E-2</v>
      </c>
      <c r="C74">
        <f ca="1">LOOKUP(B74,Computations!$B$2:$B$100,Computations!$A$2:A$100)</f>
        <v>6</v>
      </c>
      <c r="D74">
        <f t="shared" ca="1" si="16"/>
        <v>7.4999999999999997E-2</v>
      </c>
      <c r="E74">
        <f t="shared" ca="1" si="9"/>
        <v>0.09</v>
      </c>
      <c r="F74">
        <f t="shared" ca="1" si="10"/>
        <v>0.44000000000000061</v>
      </c>
      <c r="G74">
        <f t="shared" ca="1" si="11"/>
        <v>0.2</v>
      </c>
      <c r="H74">
        <f t="shared" ca="1" si="12"/>
        <v>6.666666666666668E-2</v>
      </c>
      <c r="I74">
        <f t="shared" ca="1" si="13"/>
        <v>3.3333333333333298E-2</v>
      </c>
      <c r="J74">
        <f t="shared" ca="1" si="14"/>
        <v>0</v>
      </c>
      <c r="K74">
        <f t="shared" ca="1" si="15"/>
        <v>0.23578666666666673</v>
      </c>
      <c r="L74">
        <f t="shared" ca="1" si="17"/>
        <v>6.3999999999999941</v>
      </c>
    </row>
    <row r="75" spans="1:12" x14ac:dyDescent="0.2">
      <c r="A75">
        <v>73</v>
      </c>
      <c r="B75">
        <f ca="1">Computations!$B$2+A75*$P$2/$P$1</f>
        <v>8.2525000000000001E-2</v>
      </c>
      <c r="C75">
        <f ca="1">LOOKUP(B75,Computations!$B$2:$B$100,Computations!$A$2:A$100)</f>
        <v>6</v>
      </c>
      <c r="D75">
        <f t="shared" ca="1" si="16"/>
        <v>7.4999999999999997E-2</v>
      </c>
      <c r="E75">
        <f t="shared" ca="1" si="9"/>
        <v>0.09</v>
      </c>
      <c r="F75">
        <f t="shared" ca="1" si="10"/>
        <v>0.50166666666666693</v>
      </c>
      <c r="G75">
        <f t="shared" ca="1" si="11"/>
        <v>0.2</v>
      </c>
      <c r="H75">
        <f t="shared" ca="1" si="12"/>
        <v>6.666666666666668E-2</v>
      </c>
      <c r="I75">
        <f t="shared" ca="1" si="13"/>
        <v>3.3333333333333298E-2</v>
      </c>
      <c r="J75">
        <f t="shared" ca="1" si="14"/>
        <v>0</v>
      </c>
      <c r="K75">
        <f t="shared" ca="1" si="15"/>
        <v>0.24183342592592597</v>
      </c>
      <c r="L75">
        <f t="shared" ca="1" si="17"/>
        <v>6.6740740740740829</v>
      </c>
    </row>
    <row r="76" spans="1:12" x14ac:dyDescent="0.2">
      <c r="A76">
        <v>74</v>
      </c>
      <c r="B76">
        <f ca="1">Computations!$B$2+A76*$P$2/$P$1</f>
        <v>8.3449999999999996E-2</v>
      </c>
      <c r="C76">
        <f ca="1">LOOKUP(B76,Computations!$B$2:$B$100,Computations!$A$2:A$100)</f>
        <v>6</v>
      </c>
      <c r="D76">
        <f t="shared" ca="1" si="16"/>
        <v>7.4999999999999997E-2</v>
      </c>
      <c r="E76">
        <f t="shared" ca="1" si="9"/>
        <v>0.09</v>
      </c>
      <c r="F76">
        <f t="shared" ca="1" si="10"/>
        <v>0.56333333333333335</v>
      </c>
      <c r="G76">
        <f t="shared" ca="1" si="11"/>
        <v>0.2</v>
      </c>
      <c r="H76">
        <f t="shared" ca="1" si="12"/>
        <v>6.666666666666668E-2</v>
      </c>
      <c r="I76">
        <f t="shared" ca="1" si="13"/>
        <v>3.3333333333333298E-2</v>
      </c>
      <c r="J76">
        <f t="shared" ca="1" si="14"/>
        <v>0</v>
      </c>
      <c r="K76">
        <f t="shared" ca="1" si="15"/>
        <v>0.24813370370370372</v>
      </c>
      <c r="L76">
        <f t="shared" ca="1" si="17"/>
        <v>6.948148148148146</v>
      </c>
    </row>
    <row r="77" spans="1:12" x14ac:dyDescent="0.2">
      <c r="A77">
        <v>75</v>
      </c>
      <c r="B77">
        <f ca="1">Computations!$B$2+A77*$P$2/$P$1</f>
        <v>8.4375000000000006E-2</v>
      </c>
      <c r="C77">
        <f ca="1">LOOKUP(B77,Computations!$B$2:$B$100,Computations!$A$2:A$100)</f>
        <v>6</v>
      </c>
      <c r="D77">
        <f t="shared" ca="1" si="16"/>
        <v>7.4999999999999997E-2</v>
      </c>
      <c r="E77">
        <f t="shared" ca="1" si="9"/>
        <v>0.09</v>
      </c>
      <c r="F77">
        <f t="shared" ca="1" si="10"/>
        <v>0.62500000000000056</v>
      </c>
      <c r="G77">
        <f t="shared" ca="1" si="11"/>
        <v>0.2</v>
      </c>
      <c r="H77">
        <f t="shared" ca="1" si="12"/>
        <v>6.666666666666668E-2</v>
      </c>
      <c r="I77">
        <f t="shared" ca="1" si="13"/>
        <v>3.3333333333333298E-2</v>
      </c>
      <c r="J77">
        <f t="shared" ca="1" si="14"/>
        <v>0</v>
      </c>
      <c r="K77">
        <f t="shared" ca="1" si="15"/>
        <v>0.25468750000000007</v>
      </c>
      <c r="L77">
        <f t="shared" ca="1" si="17"/>
        <v>7.2222222222222143</v>
      </c>
    </row>
    <row r="78" spans="1:12" x14ac:dyDescent="0.2">
      <c r="A78">
        <v>76</v>
      </c>
      <c r="B78">
        <f ca="1">Computations!$B$2+A78*$P$2/$P$1</f>
        <v>8.5300000000000001E-2</v>
      </c>
      <c r="C78">
        <f ca="1">LOOKUP(B78,Computations!$B$2:$B$100,Computations!$A$2:A$100)</f>
        <v>6</v>
      </c>
      <c r="D78">
        <f t="shared" ca="1" si="16"/>
        <v>7.4999999999999997E-2</v>
      </c>
      <c r="E78">
        <f t="shared" ca="1" si="9"/>
        <v>0.09</v>
      </c>
      <c r="F78">
        <f t="shared" ca="1" si="10"/>
        <v>0.68666666666666698</v>
      </c>
      <c r="G78">
        <f t="shared" ca="1" si="11"/>
        <v>0.2</v>
      </c>
      <c r="H78">
        <f t="shared" ca="1" si="12"/>
        <v>6.666666666666668E-2</v>
      </c>
      <c r="I78">
        <f t="shared" ca="1" si="13"/>
        <v>3.3333333333333298E-2</v>
      </c>
      <c r="J78">
        <f t="shared" ca="1" si="14"/>
        <v>0</v>
      </c>
      <c r="K78">
        <f t="shared" ca="1" si="15"/>
        <v>0.26149481481481485</v>
      </c>
      <c r="L78">
        <f t="shared" ca="1" si="17"/>
        <v>7.4962962962962942</v>
      </c>
    </row>
    <row r="79" spans="1:12" x14ac:dyDescent="0.2">
      <c r="A79">
        <v>77</v>
      </c>
      <c r="B79">
        <f ca="1">Computations!$B$2+A79*$P$2/$P$1</f>
        <v>8.6224999999999996E-2</v>
      </c>
      <c r="C79">
        <f ca="1">LOOKUP(B79,Computations!$B$2:$B$100,Computations!$A$2:A$100)</f>
        <v>6</v>
      </c>
      <c r="D79">
        <f t="shared" ca="1" si="16"/>
        <v>7.4999999999999997E-2</v>
      </c>
      <c r="E79">
        <f t="shared" ca="1" si="9"/>
        <v>0.09</v>
      </c>
      <c r="F79">
        <f t="shared" ca="1" si="10"/>
        <v>0.74833333333333329</v>
      </c>
      <c r="G79">
        <f t="shared" ca="1" si="11"/>
        <v>0.2</v>
      </c>
      <c r="H79">
        <f t="shared" ca="1" si="12"/>
        <v>6.666666666666668E-2</v>
      </c>
      <c r="I79">
        <f t="shared" ca="1" si="13"/>
        <v>3.3333333333333298E-2</v>
      </c>
      <c r="J79">
        <f t="shared" ca="1" si="14"/>
        <v>0</v>
      </c>
      <c r="K79">
        <f t="shared" ca="1" si="15"/>
        <v>0.26855564814814814</v>
      </c>
      <c r="L79">
        <f t="shared" ca="1" si="17"/>
        <v>7.7703703703703653</v>
      </c>
    </row>
    <row r="80" spans="1:12" x14ac:dyDescent="0.2">
      <c r="A80">
        <v>78</v>
      </c>
      <c r="B80">
        <f ca="1">Computations!$B$2+A80*$P$2/$P$1</f>
        <v>8.7149999999999991E-2</v>
      </c>
      <c r="C80">
        <f ca="1">LOOKUP(B80,Computations!$B$2:$B$100,Computations!$A$2:A$100)</f>
        <v>6</v>
      </c>
      <c r="D80">
        <f t="shared" ca="1" si="16"/>
        <v>7.4999999999999997E-2</v>
      </c>
      <c r="E80">
        <f t="shared" ca="1" si="9"/>
        <v>0.09</v>
      </c>
      <c r="F80">
        <f t="shared" ca="1" si="10"/>
        <v>0.80999999999999961</v>
      </c>
      <c r="G80">
        <f t="shared" ca="1" si="11"/>
        <v>0.2</v>
      </c>
      <c r="H80">
        <f t="shared" ca="1" si="12"/>
        <v>6.666666666666668E-2</v>
      </c>
      <c r="I80">
        <f t="shared" ca="1" si="13"/>
        <v>3.3333333333333298E-2</v>
      </c>
      <c r="J80">
        <f t="shared" ca="1" si="14"/>
        <v>0</v>
      </c>
      <c r="K80">
        <f t="shared" ca="1" si="15"/>
        <v>0.27586999999999995</v>
      </c>
      <c r="L80">
        <f t="shared" ca="1" si="17"/>
        <v>8.0444444444444656</v>
      </c>
    </row>
    <row r="81" spans="1:12" x14ac:dyDescent="0.2">
      <c r="A81">
        <v>79</v>
      </c>
      <c r="B81">
        <f ca="1">Computations!$B$2+A81*$P$2/$P$1</f>
        <v>8.8075000000000001E-2</v>
      </c>
      <c r="C81">
        <f ca="1">LOOKUP(B81,Computations!$B$2:$B$100,Computations!$A$2:A$100)</f>
        <v>6</v>
      </c>
      <c r="D81">
        <f t="shared" ca="1" si="16"/>
        <v>7.4999999999999997E-2</v>
      </c>
      <c r="E81">
        <f t="shared" ca="1" si="9"/>
        <v>0.09</v>
      </c>
      <c r="F81">
        <f t="shared" ca="1" si="10"/>
        <v>0.87166666666666692</v>
      </c>
      <c r="G81">
        <f t="shared" ca="1" si="11"/>
        <v>0.2</v>
      </c>
      <c r="H81">
        <f t="shared" ca="1" si="12"/>
        <v>6.666666666666668E-2</v>
      </c>
      <c r="I81">
        <f t="shared" ca="1" si="13"/>
        <v>3.3333333333333298E-2</v>
      </c>
      <c r="J81">
        <f t="shared" ca="1" si="14"/>
        <v>0</v>
      </c>
      <c r="K81">
        <f t="shared" ca="1" si="15"/>
        <v>0.28343787037037044</v>
      </c>
      <c r="L81">
        <f t="shared" ca="1" si="17"/>
        <v>8.3185185185185322</v>
      </c>
    </row>
    <row r="82" spans="1:12" x14ac:dyDescent="0.2">
      <c r="A82">
        <v>80</v>
      </c>
      <c r="B82">
        <f ca="1">Computations!$B$2+A82*$P$2/$P$1</f>
        <v>8.900000000000001E-2</v>
      </c>
      <c r="C82">
        <f ca="1">LOOKUP(B82,Computations!$B$2:$B$100,Computations!$A$2:A$100)</f>
        <v>6</v>
      </c>
      <c r="D82">
        <f t="shared" ca="1" si="16"/>
        <v>7.4999999999999997E-2</v>
      </c>
      <c r="E82">
        <f t="shared" ca="1" si="9"/>
        <v>0.09</v>
      </c>
      <c r="F82">
        <f t="shared" ca="1" si="10"/>
        <v>0.93333333333333424</v>
      </c>
      <c r="G82">
        <f t="shared" ca="1" si="11"/>
        <v>0.2</v>
      </c>
      <c r="H82">
        <f t="shared" ca="1" si="12"/>
        <v>6.666666666666668E-2</v>
      </c>
      <c r="I82">
        <f t="shared" ca="1" si="13"/>
        <v>3.3333333333333298E-2</v>
      </c>
      <c r="J82">
        <f t="shared" ca="1" si="14"/>
        <v>0</v>
      </c>
      <c r="K82">
        <f t="shared" ca="1" si="15"/>
        <v>0.29125925925925938</v>
      </c>
      <c r="L82">
        <f t="shared" ca="1" si="17"/>
        <v>8.5925925925925473</v>
      </c>
    </row>
    <row r="83" spans="1:12" x14ac:dyDescent="0.2">
      <c r="A83">
        <v>81</v>
      </c>
      <c r="B83">
        <f ca="1">Computations!$B$2+A83*$P$2/$P$1</f>
        <v>8.9924999999999991E-2</v>
      </c>
      <c r="C83">
        <f ca="1">LOOKUP(B83,Computations!$B$2:$B$100,Computations!$A$2:A$100)</f>
        <v>6</v>
      </c>
      <c r="D83">
        <f t="shared" ca="1" si="16"/>
        <v>7.4999999999999997E-2</v>
      </c>
      <c r="E83">
        <f t="shared" ca="1" si="9"/>
        <v>0.09</v>
      </c>
      <c r="F83">
        <f t="shared" ca="1" si="10"/>
        <v>0.99499999999999966</v>
      </c>
      <c r="G83">
        <f t="shared" ca="1" si="11"/>
        <v>0.2</v>
      </c>
      <c r="H83">
        <f t="shared" ca="1" si="12"/>
        <v>6.666666666666668E-2</v>
      </c>
      <c r="I83">
        <f t="shared" ca="1" si="13"/>
        <v>3.3333333333333298E-2</v>
      </c>
      <c r="J83">
        <f t="shared" ca="1" si="14"/>
        <v>0</v>
      </c>
      <c r="K83">
        <f t="shared" ca="1" si="15"/>
        <v>0.29933416666666657</v>
      </c>
      <c r="L83">
        <f t="shared" ca="1" si="17"/>
        <v>9.2301683016349703</v>
      </c>
    </row>
    <row r="84" spans="1:12" x14ac:dyDescent="0.2">
      <c r="A84">
        <v>82</v>
      </c>
      <c r="B84">
        <f ca="1">Computations!$B$2+A84*$P$2/$P$1</f>
        <v>9.085E-2</v>
      </c>
      <c r="C84">
        <f ca="1">LOOKUP(B84,Computations!$B$2:$B$100,Computations!$A$2:A$100)</f>
        <v>7</v>
      </c>
      <c r="D84">
        <f t="shared" ca="1" si="16"/>
        <v>0.09</v>
      </c>
      <c r="E84">
        <f t="shared" ca="1" si="9"/>
        <v>0.105</v>
      </c>
      <c r="F84">
        <f t="shared" ca="1" si="10"/>
        <v>5.6666666666666907E-2</v>
      </c>
      <c r="G84">
        <f t="shared" ca="1" si="11"/>
        <v>0.3</v>
      </c>
      <c r="H84">
        <f t="shared" ca="1" si="12"/>
        <v>0.1333333333333333</v>
      </c>
      <c r="I84">
        <f t="shared" ca="1" si="13"/>
        <v>0.25333333333333335</v>
      </c>
      <c r="J84">
        <f t="shared" ca="1" si="14"/>
        <v>-0.18666666666666665</v>
      </c>
      <c r="K84">
        <f t="shared" ca="1" si="15"/>
        <v>0.30833507061728399</v>
      </c>
      <c r="L84">
        <f t="shared" ca="1" si="17"/>
        <v>10.638743610276954</v>
      </c>
    </row>
    <row r="85" spans="1:12" x14ac:dyDescent="0.2">
      <c r="A85">
        <v>83</v>
      </c>
      <c r="B85">
        <f ca="1">Computations!$B$2+A85*$P$2/$P$1</f>
        <v>9.1774999999999995E-2</v>
      </c>
      <c r="C85">
        <f ca="1">LOOKUP(B85,Computations!$B$2:$B$100,Computations!$A$2:A$100)</f>
        <v>7</v>
      </c>
      <c r="D85">
        <f t="shared" ca="1" si="16"/>
        <v>0.09</v>
      </c>
      <c r="E85">
        <f t="shared" ca="1" si="9"/>
        <v>0.105</v>
      </c>
      <c r="F85">
        <f t="shared" ca="1" si="10"/>
        <v>0.11833333333333326</v>
      </c>
      <c r="G85">
        <f t="shared" ca="1" si="11"/>
        <v>0.3</v>
      </c>
      <c r="H85">
        <f t="shared" ca="1" si="12"/>
        <v>0.1333333333333333</v>
      </c>
      <c r="I85">
        <f t="shared" ca="1" si="13"/>
        <v>0.25333333333333335</v>
      </c>
      <c r="J85">
        <f t="shared" ca="1" si="14"/>
        <v>-0.18666666666666665</v>
      </c>
      <c r="K85">
        <f t="shared" ca="1" si="15"/>
        <v>0.31901584234567898</v>
      </c>
      <c r="L85">
        <f t="shared" ca="1" si="17"/>
        <v>12.31583209876546</v>
      </c>
    </row>
    <row r="86" spans="1:12" x14ac:dyDescent="0.2">
      <c r="A86">
        <v>84</v>
      </c>
      <c r="B86">
        <f ca="1">Computations!$B$2+A86*$P$2/$P$1</f>
        <v>9.2699999999999991E-2</v>
      </c>
      <c r="C86">
        <f ca="1">LOOKUP(B86,Computations!$B$2:$B$100,Computations!$A$2:A$100)</f>
        <v>7</v>
      </c>
      <c r="D86">
        <f t="shared" ca="1" si="16"/>
        <v>0.09</v>
      </c>
      <c r="E86">
        <f t="shared" ca="1" si="9"/>
        <v>0.105</v>
      </c>
      <c r="F86">
        <f t="shared" ca="1" si="10"/>
        <v>0.1799999999999996</v>
      </c>
      <c r="G86">
        <f t="shared" ca="1" si="11"/>
        <v>0.3</v>
      </c>
      <c r="H86">
        <f t="shared" ca="1" si="12"/>
        <v>0.1333333333333333</v>
      </c>
      <c r="I86">
        <f t="shared" ca="1" si="13"/>
        <v>0.25333333333333335</v>
      </c>
      <c r="J86">
        <f t="shared" ca="1" si="14"/>
        <v>-0.18666666666666665</v>
      </c>
      <c r="K86">
        <f t="shared" ca="1" si="15"/>
        <v>0.33111935999999997</v>
      </c>
      <c r="L86">
        <f t="shared" ca="1" si="17"/>
        <v>13.711965432098772</v>
      </c>
    </row>
    <row r="87" spans="1:12" x14ac:dyDescent="0.2">
      <c r="A87">
        <v>85</v>
      </c>
      <c r="B87">
        <f ca="1">Computations!$B$2+A87*$P$2/$P$1</f>
        <v>9.3625E-2</v>
      </c>
      <c r="C87">
        <f ca="1">LOOKUP(B87,Computations!$B$2:$B$100,Computations!$A$2:A$100)</f>
        <v>7</v>
      </c>
      <c r="D87">
        <f t="shared" ca="1" si="16"/>
        <v>0.09</v>
      </c>
      <c r="E87">
        <f t="shared" ca="1" si="9"/>
        <v>0.105</v>
      </c>
      <c r="F87">
        <f t="shared" ca="1" si="10"/>
        <v>0.24166666666666689</v>
      </c>
      <c r="G87">
        <f t="shared" ca="1" si="11"/>
        <v>0.3</v>
      </c>
      <c r="H87">
        <f t="shared" ca="1" si="12"/>
        <v>0.1333333333333333</v>
      </c>
      <c r="I87">
        <f t="shared" ca="1" si="13"/>
        <v>0.25333333333333335</v>
      </c>
      <c r="J87">
        <f t="shared" ca="1" si="14"/>
        <v>-0.18666666666666665</v>
      </c>
      <c r="K87">
        <f t="shared" ca="1" si="15"/>
        <v>0.34438297839506177</v>
      </c>
      <c r="L87">
        <f t="shared" ca="1" si="17"/>
        <v>14.824158024691354</v>
      </c>
    </row>
    <row r="88" spans="1:12" x14ac:dyDescent="0.2">
      <c r="A88">
        <v>86</v>
      </c>
      <c r="B88">
        <f ca="1">Computations!$B$2+A88*$P$2/$P$1</f>
        <v>9.4549999999999995E-2</v>
      </c>
      <c r="C88">
        <f ca="1">LOOKUP(B88,Computations!$B$2:$B$100,Computations!$A$2:A$100)</f>
        <v>7</v>
      </c>
      <c r="D88">
        <f t="shared" ca="1" si="16"/>
        <v>0.09</v>
      </c>
      <c r="E88">
        <f t="shared" ca="1" si="9"/>
        <v>0.105</v>
      </c>
      <c r="F88">
        <f t="shared" ca="1" si="10"/>
        <v>0.30333333333333323</v>
      </c>
      <c r="G88">
        <f t="shared" ca="1" si="11"/>
        <v>0.3</v>
      </c>
      <c r="H88">
        <f t="shared" ca="1" si="12"/>
        <v>0.1333333333333333</v>
      </c>
      <c r="I88">
        <f t="shared" ca="1" si="13"/>
        <v>0.25333333333333335</v>
      </c>
      <c r="J88">
        <f t="shared" ca="1" si="14"/>
        <v>-0.18666666666666665</v>
      </c>
      <c r="K88">
        <f t="shared" ca="1" si="15"/>
        <v>0.35854405234567904</v>
      </c>
      <c r="L88">
        <f t="shared" ca="1" si="17"/>
        <v>15.652409876543199</v>
      </c>
    </row>
    <row r="89" spans="1:12" x14ac:dyDescent="0.2">
      <c r="A89">
        <v>87</v>
      </c>
      <c r="B89">
        <f ca="1">Computations!$B$2+A89*$P$2/$P$1</f>
        <v>9.547499999999999E-2</v>
      </c>
      <c r="C89">
        <f ca="1">LOOKUP(B89,Computations!$B$2:$B$100,Computations!$A$2:A$100)</f>
        <v>7</v>
      </c>
      <c r="D89">
        <f t="shared" ca="1" si="16"/>
        <v>0.09</v>
      </c>
      <c r="E89">
        <f t="shared" ca="1" si="9"/>
        <v>0.105</v>
      </c>
      <c r="F89">
        <f t="shared" ca="1" si="10"/>
        <v>0.3649999999999996</v>
      </c>
      <c r="G89">
        <f t="shared" ca="1" si="11"/>
        <v>0.3</v>
      </c>
      <c r="H89">
        <f t="shared" ca="1" si="12"/>
        <v>0.1333333333333333</v>
      </c>
      <c r="I89">
        <f t="shared" ca="1" si="13"/>
        <v>0.25333333333333335</v>
      </c>
      <c r="J89">
        <f t="shared" ca="1" si="14"/>
        <v>-0.18666666666666665</v>
      </c>
      <c r="K89">
        <f t="shared" ca="1" si="15"/>
        <v>0.37333993666666654</v>
      </c>
      <c r="L89">
        <f t="shared" ca="1" si="17"/>
        <v>16.196720987654288</v>
      </c>
    </row>
    <row r="90" spans="1:12" x14ac:dyDescent="0.2">
      <c r="A90">
        <v>88</v>
      </c>
      <c r="B90">
        <f ca="1">Computations!$B$2+A90*$P$2/$P$1</f>
        <v>9.64E-2</v>
      </c>
      <c r="C90">
        <f ca="1">LOOKUP(B90,Computations!$B$2:$B$100,Computations!$A$2:A$100)</f>
        <v>7</v>
      </c>
      <c r="D90">
        <f t="shared" ca="1" si="16"/>
        <v>0.09</v>
      </c>
      <c r="E90">
        <f t="shared" ca="1" si="9"/>
        <v>0.105</v>
      </c>
      <c r="F90">
        <f t="shared" ca="1" si="10"/>
        <v>0.42666666666666686</v>
      </c>
      <c r="G90">
        <f t="shared" ca="1" si="11"/>
        <v>0.3</v>
      </c>
      <c r="H90">
        <f t="shared" ca="1" si="12"/>
        <v>0.1333333333333333</v>
      </c>
      <c r="I90">
        <f t="shared" ca="1" si="13"/>
        <v>0.25333333333333335</v>
      </c>
      <c r="J90">
        <f t="shared" ca="1" si="14"/>
        <v>-0.18666666666666665</v>
      </c>
      <c r="K90">
        <f t="shared" ca="1" si="15"/>
        <v>0.38850798617283955</v>
      </c>
      <c r="L90">
        <f t="shared" ca="1" si="17"/>
        <v>16.457091358024702</v>
      </c>
    </row>
    <row r="91" spans="1:12" x14ac:dyDescent="0.2">
      <c r="A91">
        <v>89</v>
      </c>
      <c r="B91">
        <f ca="1">Computations!$B$2+A91*$P$2/$P$1</f>
        <v>9.7324999999999995E-2</v>
      </c>
      <c r="C91">
        <f ca="1">LOOKUP(B91,Computations!$B$2:$B$100,Computations!$A$2:A$100)</f>
        <v>7</v>
      </c>
      <c r="D91">
        <f t="shared" ca="1" si="16"/>
        <v>0.09</v>
      </c>
      <c r="E91">
        <f t="shared" ca="1" si="9"/>
        <v>0.105</v>
      </c>
      <c r="F91">
        <f t="shared" ca="1" si="10"/>
        <v>0.48833333333333323</v>
      </c>
      <c r="G91">
        <f t="shared" ca="1" si="11"/>
        <v>0.3</v>
      </c>
      <c r="H91">
        <f t="shared" ca="1" si="12"/>
        <v>0.1333333333333333</v>
      </c>
      <c r="I91">
        <f t="shared" ca="1" si="13"/>
        <v>0.25333333333333335</v>
      </c>
      <c r="J91">
        <f t="shared" ca="1" si="14"/>
        <v>-0.18666666666666665</v>
      </c>
      <c r="K91">
        <f t="shared" ca="1" si="15"/>
        <v>0.40378555567901231</v>
      </c>
      <c r="L91">
        <f t="shared" ca="1" si="17"/>
        <v>16.433520987654294</v>
      </c>
    </row>
    <row r="92" spans="1:12" x14ac:dyDescent="0.2">
      <c r="A92">
        <v>90</v>
      </c>
      <c r="B92">
        <f ca="1">Computations!$B$2+A92*$P$2/$P$1</f>
        <v>9.824999999999999E-2</v>
      </c>
      <c r="C92">
        <f ca="1">LOOKUP(B92,Computations!$B$2:$B$100,Computations!$A$2:A$100)</f>
        <v>7</v>
      </c>
      <c r="D92">
        <f t="shared" ca="1" si="16"/>
        <v>0.09</v>
      </c>
      <c r="E92">
        <f t="shared" ca="1" si="9"/>
        <v>0.105</v>
      </c>
      <c r="F92">
        <f t="shared" ca="1" si="10"/>
        <v>0.5499999999999996</v>
      </c>
      <c r="G92">
        <f t="shared" ca="1" si="11"/>
        <v>0.3</v>
      </c>
      <c r="H92">
        <f t="shared" ca="1" si="12"/>
        <v>0.1333333333333333</v>
      </c>
      <c r="I92">
        <f t="shared" ca="1" si="13"/>
        <v>0.25333333333333335</v>
      </c>
      <c r="J92">
        <f t="shared" ca="1" si="14"/>
        <v>-0.18666666666666665</v>
      </c>
      <c r="K92">
        <f t="shared" ca="1" si="15"/>
        <v>0.41890999999999984</v>
      </c>
      <c r="L92">
        <f t="shared" ca="1" si="17"/>
        <v>16.126009876543179</v>
      </c>
    </row>
    <row r="93" spans="1:12" x14ac:dyDescent="0.2">
      <c r="A93">
        <v>91</v>
      </c>
      <c r="B93">
        <f ca="1">Computations!$B$2+A93*$P$2/$P$1</f>
        <v>9.9174999999999999E-2</v>
      </c>
      <c r="C93">
        <f ca="1">LOOKUP(B93,Computations!$B$2:$B$100,Computations!$A$2:A$100)</f>
        <v>7</v>
      </c>
      <c r="D93">
        <f t="shared" ca="1" si="16"/>
        <v>0.09</v>
      </c>
      <c r="E93">
        <f t="shared" ca="1" si="9"/>
        <v>0.105</v>
      </c>
      <c r="F93">
        <f t="shared" ca="1" si="10"/>
        <v>0.61166666666666691</v>
      </c>
      <c r="G93">
        <f t="shared" ca="1" si="11"/>
        <v>0.3</v>
      </c>
      <c r="H93">
        <f t="shared" ca="1" si="12"/>
        <v>0.1333333333333333</v>
      </c>
      <c r="I93">
        <f t="shared" ca="1" si="13"/>
        <v>0.25333333333333335</v>
      </c>
      <c r="J93">
        <f t="shared" ca="1" si="14"/>
        <v>-0.18666666666666665</v>
      </c>
      <c r="K93">
        <f t="shared" ca="1" si="15"/>
        <v>0.43361867395061726</v>
      </c>
      <c r="L93">
        <f t="shared" ca="1" si="17"/>
        <v>15.534558024691423</v>
      </c>
    </row>
    <row r="94" spans="1:12" x14ac:dyDescent="0.2">
      <c r="A94">
        <v>92</v>
      </c>
      <c r="B94">
        <f ca="1">Computations!$B$2+A94*$P$2/$P$1</f>
        <v>0.10009999999999999</v>
      </c>
      <c r="C94">
        <f ca="1">LOOKUP(B94,Computations!$B$2:$B$100,Computations!$A$2:A$100)</f>
        <v>7</v>
      </c>
      <c r="D94">
        <f t="shared" ca="1" si="16"/>
        <v>0.09</v>
      </c>
      <c r="E94">
        <f t="shared" ca="1" si="9"/>
        <v>0.105</v>
      </c>
      <c r="F94">
        <f t="shared" ca="1" si="10"/>
        <v>0.67333333333333323</v>
      </c>
      <c r="G94">
        <f t="shared" ca="1" si="11"/>
        <v>0.3</v>
      </c>
      <c r="H94">
        <f t="shared" ca="1" si="12"/>
        <v>0.1333333333333333</v>
      </c>
      <c r="I94">
        <f t="shared" ca="1" si="13"/>
        <v>0.25333333333333335</v>
      </c>
      <c r="J94">
        <f t="shared" ca="1" si="14"/>
        <v>-0.18666666666666665</v>
      </c>
      <c r="K94">
        <f t="shared" ca="1" si="15"/>
        <v>0.44764893234567904</v>
      </c>
      <c r="L94">
        <f t="shared" ca="1" si="17"/>
        <v>14.659165432098774</v>
      </c>
    </row>
    <row r="95" spans="1:12" x14ac:dyDescent="0.2">
      <c r="A95">
        <v>93</v>
      </c>
      <c r="B95">
        <f ca="1">Computations!$B$2+A95*$P$2/$P$1</f>
        <v>0.10102499999999999</v>
      </c>
      <c r="C95">
        <f ca="1">LOOKUP(B95,Computations!$B$2:$B$100,Computations!$A$2:A$100)</f>
        <v>7</v>
      </c>
      <c r="D95">
        <f t="shared" ca="1" si="16"/>
        <v>0.09</v>
      </c>
      <c r="E95">
        <f t="shared" ref="E95:E158" ca="1" si="18">INDIRECT("Computations!B"&amp;(C95+1))</f>
        <v>0.105</v>
      </c>
      <c r="F95">
        <f t="shared" ref="F95:F158" ca="1" si="19">(B95-D95)/(E95-D95)</f>
        <v>0.73499999999999954</v>
      </c>
      <c r="G95">
        <f t="shared" ref="G95:G158" ca="1" si="20">INDIRECT("Computations!C"&amp;C95)</f>
        <v>0.3</v>
      </c>
      <c r="H95">
        <f t="shared" ref="H95:H158" ca="1" si="21">INDIRECT("Computations!Q"&amp;C95)</f>
        <v>0.1333333333333333</v>
      </c>
      <c r="I95">
        <f t="shared" ref="I95:I158" ca="1" si="22">INDIRECT("Computations!R"&amp;C95)</f>
        <v>0.25333333333333335</v>
      </c>
      <c r="J95">
        <f t="shared" ref="J95:J158" ca="1" si="23">INDIRECT("Computations!S"&amp;C95)</f>
        <v>-0.18666666666666665</v>
      </c>
      <c r="K95">
        <f t="shared" ref="K95:K158" ca="1" si="24">G95+H95*F95+I95*F95*F95+J95*F95*F95*F95</f>
        <v>0.46073812999999986</v>
      </c>
      <c r="L95">
        <f t="shared" ca="1" si="17"/>
        <v>13.499832098765383</v>
      </c>
    </row>
    <row r="96" spans="1:12" x14ac:dyDescent="0.2">
      <c r="A96">
        <v>94</v>
      </c>
      <c r="B96">
        <f ca="1">Computations!$B$2+A96*$P$2/$P$1</f>
        <v>0.10195</v>
      </c>
      <c r="C96">
        <f ca="1">LOOKUP(B96,Computations!$B$2:$B$100,Computations!$A$2:A$100)</f>
        <v>7</v>
      </c>
      <c r="D96">
        <f t="shared" ca="1" si="16"/>
        <v>0.09</v>
      </c>
      <c r="E96">
        <f t="shared" ca="1" si="18"/>
        <v>0.105</v>
      </c>
      <c r="F96">
        <f t="shared" ca="1" si="19"/>
        <v>0.79666666666666686</v>
      </c>
      <c r="G96">
        <f t="shared" ca="1" si="20"/>
        <v>0.3</v>
      </c>
      <c r="H96">
        <f t="shared" ca="1" si="21"/>
        <v>0.1333333333333333</v>
      </c>
      <c r="I96">
        <f t="shared" ca="1" si="22"/>
        <v>0.25333333333333335</v>
      </c>
      <c r="J96">
        <f t="shared" ca="1" si="23"/>
        <v>-0.18666666666666665</v>
      </c>
      <c r="K96">
        <f t="shared" ca="1" si="24"/>
        <v>0.47262362172839506</v>
      </c>
      <c r="L96">
        <f t="shared" ca="1" si="17"/>
        <v>12.05655802469137</v>
      </c>
    </row>
    <row r="97" spans="1:12" x14ac:dyDescent="0.2">
      <c r="A97">
        <v>95</v>
      </c>
      <c r="B97">
        <f ca="1">Computations!$B$2+A97*$P$2/$P$1</f>
        <v>0.10287499999999999</v>
      </c>
      <c r="C97">
        <f ca="1">LOOKUP(B97,Computations!$B$2:$B$100,Computations!$A$2:A$100)</f>
        <v>7</v>
      </c>
      <c r="D97">
        <f t="shared" ca="1" si="16"/>
        <v>0.09</v>
      </c>
      <c r="E97">
        <f t="shared" ca="1" si="18"/>
        <v>0.105</v>
      </c>
      <c r="F97">
        <f t="shared" ca="1" si="19"/>
        <v>0.85833333333333317</v>
      </c>
      <c r="G97">
        <f t="shared" ca="1" si="20"/>
        <v>0.3</v>
      </c>
      <c r="H97">
        <f t="shared" ca="1" si="21"/>
        <v>0.1333333333333333</v>
      </c>
      <c r="I97">
        <f t="shared" ca="1" si="22"/>
        <v>0.25333333333333335</v>
      </c>
      <c r="J97">
        <f t="shared" ca="1" si="23"/>
        <v>-0.18666666666666665</v>
      </c>
      <c r="K97">
        <f t="shared" ca="1" si="24"/>
        <v>0.48304276234567894</v>
      </c>
      <c r="L97">
        <f t="shared" ca="1" si="17"/>
        <v>10.32934320987658</v>
      </c>
    </row>
    <row r="98" spans="1:12" x14ac:dyDescent="0.2">
      <c r="A98">
        <v>96</v>
      </c>
      <c r="B98">
        <f ca="1">Computations!$B$2+A98*$P$2/$P$1</f>
        <v>0.10379999999999999</v>
      </c>
      <c r="C98">
        <f ca="1">LOOKUP(B98,Computations!$B$2:$B$100,Computations!$A$2:A$100)</f>
        <v>7</v>
      </c>
      <c r="D98">
        <f t="shared" ca="1" si="16"/>
        <v>0.09</v>
      </c>
      <c r="E98">
        <f t="shared" ca="1" si="18"/>
        <v>0.105</v>
      </c>
      <c r="F98">
        <f t="shared" ca="1" si="19"/>
        <v>0.9199999999999996</v>
      </c>
      <c r="G98">
        <f t="shared" ca="1" si="20"/>
        <v>0.3</v>
      </c>
      <c r="H98">
        <f t="shared" ca="1" si="21"/>
        <v>0.1333333333333333</v>
      </c>
      <c r="I98">
        <f t="shared" ca="1" si="22"/>
        <v>0.25333333333333335</v>
      </c>
      <c r="J98">
        <f t="shared" ca="1" si="23"/>
        <v>-0.18666666666666665</v>
      </c>
      <c r="K98">
        <f t="shared" ca="1" si="24"/>
        <v>0.49173290666666664</v>
      </c>
      <c r="L98">
        <f t="shared" ca="1" si="17"/>
        <v>8.3181876543210223</v>
      </c>
    </row>
    <row r="99" spans="1:12" x14ac:dyDescent="0.2">
      <c r="A99">
        <v>97</v>
      </c>
      <c r="B99">
        <f ca="1">Computations!$B$2+A99*$P$2/$P$1</f>
        <v>0.104725</v>
      </c>
      <c r="C99">
        <f ca="1">LOOKUP(B99,Computations!$B$2:$B$100,Computations!$A$2:A$100)</f>
        <v>7</v>
      </c>
      <c r="D99">
        <f t="shared" ca="1" si="16"/>
        <v>0.09</v>
      </c>
      <c r="E99">
        <f t="shared" ca="1" si="18"/>
        <v>0.105</v>
      </c>
      <c r="F99">
        <f t="shared" ca="1" si="19"/>
        <v>0.9816666666666668</v>
      </c>
      <c r="G99">
        <f t="shared" ca="1" si="20"/>
        <v>0.3</v>
      </c>
      <c r="H99">
        <f t="shared" ca="1" si="21"/>
        <v>0.1333333333333333</v>
      </c>
      <c r="I99">
        <f t="shared" ca="1" si="22"/>
        <v>0.25333333333333335</v>
      </c>
      <c r="J99">
        <f t="shared" ca="1" si="23"/>
        <v>-0.18666666666666665</v>
      </c>
      <c r="K99">
        <f t="shared" ca="1" si="24"/>
        <v>0.49843140950617287</v>
      </c>
      <c r="L99">
        <f t="shared" ca="1" si="17"/>
        <v>6.2829915915915917</v>
      </c>
    </row>
    <row r="100" spans="1:12" x14ac:dyDescent="0.2">
      <c r="A100">
        <v>98</v>
      </c>
      <c r="B100">
        <f ca="1">Computations!$B$2+A100*$P$2/$P$1</f>
        <v>0.10564999999999999</v>
      </c>
      <c r="C100">
        <f ca="1">LOOKUP(B100,Computations!$B$2:$B$100,Computations!$A$2:A$100)</f>
        <v>8</v>
      </c>
      <c r="D100">
        <f t="shared" ca="1" si="16"/>
        <v>0.105</v>
      </c>
      <c r="E100">
        <f t="shared" ca="1" si="18"/>
        <v>0.12</v>
      </c>
      <c r="F100">
        <f t="shared" ca="1" si="19"/>
        <v>4.3333333333333189E-2</v>
      </c>
      <c r="G100">
        <f t="shared" ca="1" si="20"/>
        <v>0.5</v>
      </c>
      <c r="H100">
        <f t="shared" ca="1" si="21"/>
        <v>8.0000000000000057E-2</v>
      </c>
      <c r="I100">
        <f t="shared" ca="1" si="22"/>
        <v>-5.9999999999999956E-2</v>
      </c>
      <c r="J100">
        <f t="shared" ca="1" si="23"/>
        <v>2.9999999999999943E-2</v>
      </c>
      <c r="K100">
        <f t="shared" ca="1" si="24"/>
        <v>0.50335644111111111</v>
      </c>
      <c r="L100">
        <f t="shared" ca="1" si="17"/>
        <v>5.0496320236903713</v>
      </c>
    </row>
    <row r="101" spans="1:12" x14ac:dyDescent="0.2">
      <c r="A101">
        <v>99</v>
      </c>
      <c r="B101">
        <f ca="1">Computations!$B$2+A101*$P$2/$P$1</f>
        <v>0.106575</v>
      </c>
      <c r="C101">
        <f ca="1">LOOKUP(B101,Computations!$B$2:$B$100,Computations!$A$2:A$100)</f>
        <v>8</v>
      </c>
      <c r="D101">
        <f t="shared" ca="1" si="16"/>
        <v>0.105</v>
      </c>
      <c r="E101">
        <f t="shared" ca="1" si="18"/>
        <v>0.12</v>
      </c>
      <c r="F101">
        <f t="shared" ca="1" si="19"/>
        <v>0.10500000000000047</v>
      </c>
      <c r="G101">
        <f t="shared" ca="1" si="20"/>
        <v>0.5</v>
      </c>
      <c r="H101">
        <f t="shared" ca="1" si="21"/>
        <v>8.0000000000000057E-2</v>
      </c>
      <c r="I101">
        <f t="shared" ca="1" si="22"/>
        <v>-5.9999999999999956E-2</v>
      </c>
      <c r="J101">
        <f t="shared" ca="1" si="23"/>
        <v>2.9999999999999943E-2</v>
      </c>
      <c r="K101">
        <f t="shared" ca="1" si="24"/>
        <v>0.50777322875000008</v>
      </c>
      <c r="L101">
        <f t="shared" ca="1" si="17"/>
        <v>4.5670888888888568</v>
      </c>
    </row>
    <row r="102" spans="1:12" x14ac:dyDescent="0.2">
      <c r="A102">
        <v>100</v>
      </c>
      <c r="B102">
        <f ca="1">Computations!$B$2+A102*$P$2/$P$1</f>
        <v>0.1075</v>
      </c>
      <c r="C102">
        <f ca="1">LOOKUP(B102,Computations!$B$2:$B$100,Computations!$A$2:A$100)</f>
        <v>8</v>
      </c>
      <c r="D102">
        <f t="shared" ca="1" si="16"/>
        <v>0.105</v>
      </c>
      <c r="E102">
        <f t="shared" ca="1" si="18"/>
        <v>0.12</v>
      </c>
      <c r="F102">
        <f t="shared" ca="1" si="19"/>
        <v>0.16666666666666682</v>
      </c>
      <c r="G102">
        <f t="shared" ca="1" si="20"/>
        <v>0.5</v>
      </c>
      <c r="H102">
        <f t="shared" ca="1" si="21"/>
        <v>8.0000000000000057E-2</v>
      </c>
      <c r="I102">
        <f t="shared" ca="1" si="22"/>
        <v>-5.9999999999999956E-2</v>
      </c>
      <c r="J102">
        <f t="shared" ca="1" si="23"/>
        <v>2.9999999999999943E-2</v>
      </c>
      <c r="K102">
        <f t="shared" ca="1" si="24"/>
        <v>0.51180555555555551</v>
      </c>
      <c r="L102">
        <f t="shared" ca="1" si="17"/>
        <v>4.1742722222221751</v>
      </c>
    </row>
    <row r="103" spans="1:12" x14ac:dyDescent="0.2">
      <c r="A103">
        <v>101</v>
      </c>
      <c r="B103">
        <f ca="1">Computations!$B$2+A103*$P$2/$P$1</f>
        <v>0.10842499999999999</v>
      </c>
      <c r="C103">
        <f ca="1">LOOKUP(B103,Computations!$B$2:$B$100,Computations!$A$2:A$100)</f>
        <v>8</v>
      </c>
      <c r="D103">
        <f t="shared" ca="1" si="16"/>
        <v>0.105</v>
      </c>
      <c r="E103">
        <f t="shared" ca="1" si="18"/>
        <v>0.12</v>
      </c>
      <c r="F103">
        <f t="shared" ca="1" si="19"/>
        <v>0.22833333333333317</v>
      </c>
      <c r="G103">
        <f t="shared" ca="1" si="20"/>
        <v>0.5</v>
      </c>
      <c r="H103">
        <f t="shared" ca="1" si="21"/>
        <v>8.0000000000000057E-2</v>
      </c>
      <c r="I103">
        <f t="shared" ca="1" si="22"/>
        <v>-5.9999999999999956E-2</v>
      </c>
      <c r="J103">
        <f t="shared" ca="1" si="23"/>
        <v>2.9999999999999943E-2</v>
      </c>
      <c r="K103">
        <f t="shared" ca="1" si="24"/>
        <v>0.51549563236111107</v>
      </c>
      <c r="L103">
        <f t="shared" ca="1" si="17"/>
        <v>3.8270888888889436</v>
      </c>
    </row>
    <row r="104" spans="1:12" x14ac:dyDescent="0.2">
      <c r="A104">
        <v>102</v>
      </c>
      <c r="B104">
        <f ca="1">Computations!$B$2+A104*$P$2/$P$1</f>
        <v>0.10935</v>
      </c>
      <c r="C104">
        <f ca="1">LOOKUP(B104,Computations!$B$2:$B$100,Computations!$A$2:A$100)</f>
        <v>8</v>
      </c>
      <c r="D104">
        <f t="shared" ca="1" si="16"/>
        <v>0.105</v>
      </c>
      <c r="E104">
        <f t="shared" ca="1" si="18"/>
        <v>0.12</v>
      </c>
      <c r="F104">
        <f t="shared" ca="1" si="19"/>
        <v>0.29000000000000048</v>
      </c>
      <c r="G104">
        <f t="shared" ca="1" si="20"/>
        <v>0.5</v>
      </c>
      <c r="H104">
        <f t="shared" ca="1" si="21"/>
        <v>8.0000000000000057E-2</v>
      </c>
      <c r="I104">
        <f t="shared" ca="1" si="22"/>
        <v>-5.9999999999999956E-2</v>
      </c>
      <c r="J104">
        <f t="shared" ca="1" si="23"/>
        <v>2.9999999999999943E-2</v>
      </c>
      <c r="K104">
        <f t="shared" ca="1" si="24"/>
        <v>0.51888567000000008</v>
      </c>
      <c r="L104">
        <f t="shared" ca="1" si="17"/>
        <v>3.5255388888888977</v>
      </c>
    </row>
    <row r="105" spans="1:12" x14ac:dyDescent="0.2">
      <c r="A105">
        <v>103</v>
      </c>
      <c r="B105">
        <f ca="1">Computations!$B$2+A105*$P$2/$P$1</f>
        <v>0.110275</v>
      </c>
      <c r="C105">
        <f ca="1">LOOKUP(B105,Computations!$B$2:$B$100,Computations!$A$2:A$100)</f>
        <v>8</v>
      </c>
      <c r="D105">
        <f t="shared" ca="1" si="16"/>
        <v>0.105</v>
      </c>
      <c r="E105">
        <f t="shared" ca="1" si="18"/>
        <v>0.12</v>
      </c>
      <c r="F105">
        <f t="shared" ca="1" si="19"/>
        <v>0.35166666666666679</v>
      </c>
      <c r="G105">
        <f t="shared" ca="1" si="20"/>
        <v>0.5</v>
      </c>
      <c r="H105">
        <f t="shared" ca="1" si="21"/>
        <v>8.0000000000000057E-2</v>
      </c>
      <c r="I105">
        <f t="shared" ca="1" si="22"/>
        <v>-5.9999999999999956E-2</v>
      </c>
      <c r="J105">
        <f t="shared" ca="1" si="23"/>
        <v>2.9999999999999943E-2</v>
      </c>
      <c r="K105">
        <f t="shared" ca="1" si="24"/>
        <v>0.52201787930555554</v>
      </c>
      <c r="L105">
        <f t="shared" ca="1" si="17"/>
        <v>3.26962222222221</v>
      </c>
    </row>
    <row r="106" spans="1:12" x14ac:dyDescent="0.2">
      <c r="A106">
        <v>104</v>
      </c>
      <c r="B106">
        <f ca="1">Computations!$B$2+A106*$P$2/$P$1</f>
        <v>0.11119999999999999</v>
      </c>
      <c r="C106">
        <f ca="1">LOOKUP(B106,Computations!$B$2:$B$100,Computations!$A$2:A$100)</f>
        <v>8</v>
      </c>
      <c r="D106">
        <f t="shared" ca="1" si="16"/>
        <v>0.105</v>
      </c>
      <c r="E106">
        <f t="shared" ca="1" si="18"/>
        <v>0.12</v>
      </c>
      <c r="F106">
        <f t="shared" ca="1" si="19"/>
        <v>0.41333333333333316</v>
      </c>
      <c r="G106">
        <f t="shared" ca="1" si="20"/>
        <v>0.5</v>
      </c>
      <c r="H106">
        <f t="shared" ca="1" si="21"/>
        <v>8.0000000000000057E-2</v>
      </c>
      <c r="I106">
        <f t="shared" ca="1" si="22"/>
        <v>-5.9999999999999956E-2</v>
      </c>
      <c r="J106">
        <f t="shared" ca="1" si="23"/>
        <v>2.9999999999999943E-2</v>
      </c>
      <c r="K106">
        <f t="shared" ca="1" si="24"/>
        <v>0.52493447111111113</v>
      </c>
      <c r="L106">
        <f t="shared" ca="1" si="17"/>
        <v>3.0593388888889268</v>
      </c>
    </row>
    <row r="107" spans="1:12" x14ac:dyDescent="0.2">
      <c r="A107">
        <v>105</v>
      </c>
      <c r="B107">
        <f ca="1">Computations!$B$2+A107*$P$2/$P$1</f>
        <v>0.112125</v>
      </c>
      <c r="C107">
        <f ca="1">LOOKUP(B107,Computations!$B$2:$B$100,Computations!$A$2:A$100)</f>
        <v>8</v>
      </c>
      <c r="D107">
        <f t="shared" ca="1" si="16"/>
        <v>0.105</v>
      </c>
      <c r="E107">
        <f t="shared" ca="1" si="18"/>
        <v>0.12</v>
      </c>
      <c r="F107">
        <f t="shared" ca="1" si="19"/>
        <v>0.47500000000000042</v>
      </c>
      <c r="G107">
        <f t="shared" ca="1" si="20"/>
        <v>0.5</v>
      </c>
      <c r="H107">
        <f t="shared" ca="1" si="21"/>
        <v>8.0000000000000057E-2</v>
      </c>
      <c r="I107">
        <f t="shared" ca="1" si="22"/>
        <v>-5.9999999999999956E-2</v>
      </c>
      <c r="J107">
        <f t="shared" ca="1" si="23"/>
        <v>2.9999999999999943E-2</v>
      </c>
      <c r="K107">
        <f t="shared" ca="1" si="24"/>
        <v>0.52767765625000007</v>
      </c>
      <c r="L107">
        <f t="shared" ca="1" si="17"/>
        <v>2.8946888888889415</v>
      </c>
    </row>
    <row r="108" spans="1:12" x14ac:dyDescent="0.2">
      <c r="A108">
        <v>106</v>
      </c>
      <c r="B108">
        <f ca="1">Computations!$B$2+A108*$P$2/$P$1</f>
        <v>0.11305</v>
      </c>
      <c r="C108">
        <f ca="1">LOOKUP(B108,Computations!$B$2:$B$100,Computations!$A$2:A$100)</f>
        <v>8</v>
      </c>
      <c r="D108">
        <f t="shared" ca="1" si="16"/>
        <v>0.105</v>
      </c>
      <c r="E108">
        <f t="shared" ca="1" si="18"/>
        <v>0.12</v>
      </c>
      <c r="F108">
        <f t="shared" ca="1" si="19"/>
        <v>0.53666666666666685</v>
      </c>
      <c r="G108">
        <f t="shared" ca="1" si="20"/>
        <v>0.5</v>
      </c>
      <c r="H108">
        <f t="shared" ca="1" si="21"/>
        <v>8.0000000000000057E-2</v>
      </c>
      <c r="I108">
        <f t="shared" ca="1" si="22"/>
        <v>-5.9999999999999956E-2</v>
      </c>
      <c r="J108">
        <f t="shared" ca="1" si="23"/>
        <v>2.9999999999999943E-2</v>
      </c>
      <c r="K108">
        <f t="shared" ca="1" si="24"/>
        <v>0.53028964555555569</v>
      </c>
      <c r="L108">
        <f t="shared" ca="1" si="17"/>
        <v>2.775672222222251</v>
      </c>
    </row>
    <row r="109" spans="1:12" x14ac:dyDescent="0.2">
      <c r="A109">
        <v>107</v>
      </c>
      <c r="B109">
        <f ca="1">Computations!$B$2+A109*$P$2/$P$1</f>
        <v>0.11397499999999999</v>
      </c>
      <c r="C109">
        <f ca="1">LOOKUP(B109,Computations!$B$2:$B$100,Computations!$A$2:A$100)</f>
        <v>8</v>
      </c>
      <c r="D109">
        <f t="shared" ca="1" si="16"/>
        <v>0.105</v>
      </c>
      <c r="E109">
        <f t="shared" ca="1" si="18"/>
        <v>0.12</v>
      </c>
      <c r="F109">
        <f t="shared" ca="1" si="19"/>
        <v>0.59833333333333316</v>
      </c>
      <c r="G109">
        <f t="shared" ca="1" si="20"/>
        <v>0.5</v>
      </c>
      <c r="H109">
        <f t="shared" ca="1" si="21"/>
        <v>8.0000000000000057E-2</v>
      </c>
      <c r="I109">
        <f t="shared" ca="1" si="22"/>
        <v>-5.9999999999999956E-2</v>
      </c>
      <c r="J109">
        <f t="shared" ca="1" si="23"/>
        <v>2.9999999999999943E-2</v>
      </c>
      <c r="K109">
        <f t="shared" ca="1" si="24"/>
        <v>0.53281264986111121</v>
      </c>
      <c r="L109">
        <f t="shared" ca="1" si="17"/>
        <v>2.7022888888888525</v>
      </c>
    </row>
    <row r="110" spans="1:12" x14ac:dyDescent="0.2">
      <c r="A110">
        <v>108</v>
      </c>
      <c r="B110">
        <f ca="1">Computations!$B$2+A110*$P$2/$P$1</f>
        <v>0.1149</v>
      </c>
      <c r="C110">
        <f ca="1">LOOKUP(B110,Computations!$B$2:$B$100,Computations!$A$2:A$100)</f>
        <v>8</v>
      </c>
      <c r="D110">
        <f t="shared" ca="1" si="16"/>
        <v>0.105</v>
      </c>
      <c r="E110">
        <f t="shared" ca="1" si="18"/>
        <v>0.12</v>
      </c>
      <c r="F110">
        <f t="shared" ca="1" si="19"/>
        <v>0.66000000000000048</v>
      </c>
      <c r="G110">
        <f t="shared" ca="1" si="20"/>
        <v>0.5</v>
      </c>
      <c r="H110">
        <f t="shared" ca="1" si="21"/>
        <v>8.0000000000000057E-2</v>
      </c>
      <c r="I110">
        <f t="shared" ca="1" si="22"/>
        <v>-5.9999999999999956E-2</v>
      </c>
      <c r="J110">
        <f t="shared" ca="1" si="23"/>
        <v>2.9999999999999943E-2</v>
      </c>
      <c r="K110">
        <f t="shared" ca="1" si="24"/>
        <v>0.53528888000000008</v>
      </c>
      <c r="L110">
        <f t="shared" ca="1" si="17"/>
        <v>2.6745388888888688</v>
      </c>
    </row>
    <row r="111" spans="1:12" x14ac:dyDescent="0.2">
      <c r="A111">
        <v>109</v>
      </c>
      <c r="B111">
        <f ca="1">Computations!$B$2+A111*$P$2/$P$1</f>
        <v>0.115825</v>
      </c>
      <c r="C111">
        <f ca="1">LOOKUP(B111,Computations!$B$2:$B$100,Computations!$A$2:A$100)</f>
        <v>8</v>
      </c>
      <c r="D111">
        <f t="shared" ca="1" si="16"/>
        <v>0.105</v>
      </c>
      <c r="E111">
        <f t="shared" ca="1" si="18"/>
        <v>0.12</v>
      </c>
      <c r="F111">
        <f t="shared" ca="1" si="19"/>
        <v>0.72166666666666679</v>
      </c>
      <c r="G111">
        <f t="shared" ca="1" si="20"/>
        <v>0.5</v>
      </c>
      <c r="H111">
        <f t="shared" ca="1" si="21"/>
        <v>8.0000000000000057E-2</v>
      </c>
      <c r="I111">
        <f t="shared" ca="1" si="22"/>
        <v>-5.9999999999999956E-2</v>
      </c>
      <c r="J111">
        <f t="shared" ca="1" si="23"/>
        <v>2.9999999999999943E-2</v>
      </c>
      <c r="K111">
        <f t="shared" ca="1" si="24"/>
        <v>0.53776054680555563</v>
      </c>
      <c r="L111">
        <f t="shared" ca="1" si="17"/>
        <v>2.6924222222222185</v>
      </c>
    </row>
    <row r="112" spans="1:12" x14ac:dyDescent="0.2">
      <c r="A112">
        <v>110</v>
      </c>
      <c r="B112">
        <f ca="1">Computations!$B$2+A112*$P$2/$P$1</f>
        <v>0.11675000000000001</v>
      </c>
      <c r="C112">
        <f ca="1">LOOKUP(B112,Computations!$B$2:$B$100,Computations!$A$2:A$100)</f>
        <v>8</v>
      </c>
      <c r="D112">
        <f t="shared" ca="1" si="16"/>
        <v>0.105</v>
      </c>
      <c r="E112">
        <f t="shared" ca="1" si="18"/>
        <v>0.12</v>
      </c>
      <c r="F112">
        <f t="shared" ca="1" si="19"/>
        <v>0.7833333333333341</v>
      </c>
      <c r="G112">
        <f t="shared" ca="1" si="20"/>
        <v>0.5</v>
      </c>
      <c r="H112">
        <f t="shared" ca="1" si="21"/>
        <v>8.0000000000000057E-2</v>
      </c>
      <c r="I112">
        <f t="shared" ca="1" si="22"/>
        <v>-5.9999999999999956E-2</v>
      </c>
      <c r="J112">
        <f t="shared" ca="1" si="23"/>
        <v>2.9999999999999943E-2</v>
      </c>
      <c r="K112">
        <f t="shared" ca="1" si="24"/>
        <v>0.54026986111111119</v>
      </c>
      <c r="L112">
        <f t="shared" ca="1" si="17"/>
        <v>2.7559388888889016</v>
      </c>
    </row>
    <row r="113" spans="1:12" x14ac:dyDescent="0.2">
      <c r="A113">
        <v>111</v>
      </c>
      <c r="B113">
        <f ca="1">Computations!$B$2+A113*$P$2/$P$1</f>
        <v>0.117675</v>
      </c>
      <c r="C113">
        <f ca="1">LOOKUP(B113,Computations!$B$2:$B$100,Computations!$A$2:A$100)</f>
        <v>8</v>
      </c>
      <c r="D113">
        <f t="shared" ca="1" si="16"/>
        <v>0.105</v>
      </c>
      <c r="E113">
        <f t="shared" ca="1" si="18"/>
        <v>0.12</v>
      </c>
      <c r="F113">
        <f t="shared" ca="1" si="19"/>
        <v>0.84500000000000042</v>
      </c>
      <c r="G113">
        <f t="shared" ca="1" si="20"/>
        <v>0.5</v>
      </c>
      <c r="H113">
        <f t="shared" ca="1" si="21"/>
        <v>8.0000000000000057E-2</v>
      </c>
      <c r="I113">
        <f t="shared" ca="1" si="22"/>
        <v>-5.9999999999999956E-2</v>
      </c>
      <c r="J113">
        <f t="shared" ca="1" si="23"/>
        <v>2.9999999999999943E-2</v>
      </c>
      <c r="K113">
        <f t="shared" ca="1" si="24"/>
        <v>0.54285903375000011</v>
      </c>
      <c r="L113">
        <f t="shared" ca="1" si="17"/>
        <v>2.8650888888888804</v>
      </c>
    </row>
    <row r="114" spans="1:12" x14ac:dyDescent="0.2">
      <c r="A114">
        <v>112</v>
      </c>
      <c r="B114">
        <f ca="1">Computations!$B$2+A114*$P$2/$P$1</f>
        <v>0.1186</v>
      </c>
      <c r="C114">
        <f ca="1">LOOKUP(B114,Computations!$B$2:$B$100,Computations!$A$2:A$100)</f>
        <v>8</v>
      </c>
      <c r="D114">
        <f t="shared" ca="1" si="16"/>
        <v>0.105</v>
      </c>
      <c r="E114">
        <f t="shared" ca="1" si="18"/>
        <v>0.12</v>
      </c>
      <c r="F114">
        <f t="shared" ca="1" si="19"/>
        <v>0.90666666666666673</v>
      </c>
      <c r="G114">
        <f t="shared" ca="1" si="20"/>
        <v>0.5</v>
      </c>
      <c r="H114">
        <f t="shared" ca="1" si="21"/>
        <v>8.0000000000000057E-2</v>
      </c>
      <c r="I114">
        <f t="shared" ca="1" si="22"/>
        <v>-5.9999999999999956E-2</v>
      </c>
      <c r="J114">
        <f t="shared" ca="1" si="23"/>
        <v>2.9999999999999943E-2</v>
      </c>
      <c r="K114">
        <f t="shared" ca="1" si="24"/>
        <v>0.54557027555555559</v>
      </c>
      <c r="L114">
        <f t="shared" ca="1" si="17"/>
        <v>3.0198722222222094</v>
      </c>
    </row>
    <row r="115" spans="1:12" x14ac:dyDescent="0.2">
      <c r="A115">
        <v>113</v>
      </c>
      <c r="B115">
        <f ca="1">Computations!$B$2+A115*$P$2/$P$1</f>
        <v>0.11952500000000001</v>
      </c>
      <c r="C115">
        <f ca="1">LOOKUP(B115,Computations!$B$2:$B$100,Computations!$A$2:A$100)</f>
        <v>8</v>
      </c>
      <c r="D115">
        <f t="shared" ca="1" si="16"/>
        <v>0.105</v>
      </c>
      <c r="E115">
        <f t="shared" ca="1" si="18"/>
        <v>0.12</v>
      </c>
      <c r="F115">
        <f t="shared" ca="1" si="19"/>
        <v>0.96833333333333405</v>
      </c>
      <c r="G115">
        <f t="shared" ca="1" si="20"/>
        <v>0.5</v>
      </c>
      <c r="H115">
        <f t="shared" ca="1" si="21"/>
        <v>8.0000000000000057E-2</v>
      </c>
      <c r="I115">
        <f t="shared" ca="1" si="22"/>
        <v>-5.9999999999999956E-2</v>
      </c>
      <c r="J115">
        <f t="shared" ca="1" si="23"/>
        <v>2.9999999999999943E-2</v>
      </c>
      <c r="K115">
        <f t="shared" ca="1" si="24"/>
        <v>0.54844579736111121</v>
      </c>
      <c r="L115">
        <f t="shared" ca="1" si="17"/>
        <v>3.1973915915916464</v>
      </c>
    </row>
    <row r="116" spans="1:12" x14ac:dyDescent="0.2">
      <c r="A116">
        <v>114</v>
      </c>
      <c r="B116">
        <f ca="1">Computations!$B$2+A116*$P$2/$P$1</f>
        <v>0.12045</v>
      </c>
      <c r="C116">
        <f ca="1">LOOKUP(B116,Computations!$B$2:$B$100,Computations!$A$2:A$100)</f>
        <v>9</v>
      </c>
      <c r="D116">
        <f t="shared" ca="1" si="16"/>
        <v>0.12</v>
      </c>
      <c r="E116">
        <f t="shared" ca="1" si="18"/>
        <v>0.13500000000000001</v>
      </c>
      <c r="F116">
        <f t="shared" ca="1" si="19"/>
        <v>3.000000000000037E-2</v>
      </c>
      <c r="G116">
        <f t="shared" ca="1" si="20"/>
        <v>0.55000000000000004</v>
      </c>
      <c r="H116">
        <f t="shared" ca="1" si="21"/>
        <v>5.0000000000000017E-2</v>
      </c>
      <c r="I116">
        <f t="shared" ca="1" si="22"/>
        <v>-1.6666666666666829E-2</v>
      </c>
      <c r="J116">
        <f t="shared" ca="1" si="23"/>
        <v>1.6666666666666746E-2</v>
      </c>
      <c r="K116">
        <f t="shared" ca="1" si="24"/>
        <v>0.55148545000000015</v>
      </c>
      <c r="L116">
        <f t="shared" ca="1" si="17"/>
        <v>3.2488255422089236</v>
      </c>
    </row>
    <row r="117" spans="1:12" x14ac:dyDescent="0.2">
      <c r="A117">
        <v>115</v>
      </c>
      <c r="B117">
        <f ca="1">Computations!$B$2+A117*$P$2/$P$1</f>
        <v>0.121375</v>
      </c>
      <c r="C117">
        <f ca="1">LOOKUP(B117,Computations!$B$2:$B$100,Computations!$A$2:A$100)</f>
        <v>9</v>
      </c>
      <c r="D117">
        <f t="shared" ca="1" si="16"/>
        <v>0.12</v>
      </c>
      <c r="E117">
        <f t="shared" ca="1" si="18"/>
        <v>0.13500000000000001</v>
      </c>
      <c r="F117">
        <f t="shared" ca="1" si="19"/>
        <v>9.166666666666666E-2</v>
      </c>
      <c r="G117">
        <f t="shared" ca="1" si="20"/>
        <v>0.55000000000000004</v>
      </c>
      <c r="H117">
        <f t="shared" ca="1" si="21"/>
        <v>5.0000000000000017E-2</v>
      </c>
      <c r="I117">
        <f t="shared" ca="1" si="22"/>
        <v>-1.6666666666666829E-2</v>
      </c>
      <c r="J117">
        <f t="shared" ca="1" si="23"/>
        <v>1.6666666666666746E-2</v>
      </c>
      <c r="K117">
        <f t="shared" ca="1" si="24"/>
        <v>0.55445612461419769</v>
      </c>
      <c r="L117">
        <f t="shared" ca="1" si="17"/>
        <v>3.1618641975308197</v>
      </c>
    </row>
    <row r="118" spans="1:12" x14ac:dyDescent="0.2">
      <c r="A118">
        <v>116</v>
      </c>
      <c r="B118">
        <f ca="1">Computations!$B$2+A118*$P$2/$P$1</f>
        <v>0.12230000000000001</v>
      </c>
      <c r="C118">
        <f ca="1">LOOKUP(B118,Computations!$B$2:$B$100,Computations!$A$2:A$100)</f>
        <v>9</v>
      </c>
      <c r="D118">
        <f t="shared" ca="1" si="16"/>
        <v>0.12</v>
      </c>
      <c r="E118">
        <f t="shared" ca="1" si="18"/>
        <v>0.13500000000000001</v>
      </c>
      <c r="F118">
        <f t="shared" ca="1" si="19"/>
        <v>0.15333333333333388</v>
      </c>
      <c r="G118">
        <f t="shared" ca="1" si="20"/>
        <v>0.55000000000000004</v>
      </c>
      <c r="H118">
        <f t="shared" ca="1" si="21"/>
        <v>5.0000000000000017E-2</v>
      </c>
      <c r="I118">
        <f t="shared" ca="1" si="22"/>
        <v>-1.6666666666666829E-2</v>
      </c>
      <c r="J118">
        <f t="shared" ca="1" si="23"/>
        <v>1.6666666666666746E-2</v>
      </c>
      <c r="K118">
        <f t="shared" ca="1" si="24"/>
        <v>0.55733489876543219</v>
      </c>
      <c r="L118">
        <f t="shared" ca="1" si="17"/>
        <v>3.0751882716049161</v>
      </c>
    </row>
    <row r="119" spans="1:12" x14ac:dyDescent="0.2">
      <c r="A119">
        <v>117</v>
      </c>
      <c r="B119">
        <f ca="1">Computations!$B$2+A119*$P$2/$P$1</f>
        <v>0.123225</v>
      </c>
      <c r="C119">
        <f ca="1">LOOKUP(B119,Computations!$B$2:$B$100,Computations!$A$2:A$100)</f>
        <v>9</v>
      </c>
      <c r="D119">
        <f t="shared" ca="1" si="16"/>
        <v>0.12</v>
      </c>
      <c r="E119">
        <f t="shared" ca="1" si="18"/>
        <v>0.13500000000000001</v>
      </c>
      <c r="F119">
        <f t="shared" ca="1" si="19"/>
        <v>0.21500000000000019</v>
      </c>
      <c r="G119">
        <f t="shared" ca="1" si="20"/>
        <v>0.55000000000000004</v>
      </c>
      <c r="H119">
        <f t="shared" ca="1" si="21"/>
        <v>5.0000000000000017E-2</v>
      </c>
      <c r="I119">
        <f t="shared" ca="1" si="22"/>
        <v>-1.6666666666666829E-2</v>
      </c>
      <c r="J119">
        <f t="shared" ca="1" si="23"/>
        <v>1.6666666666666746E-2</v>
      </c>
      <c r="K119">
        <f t="shared" ca="1" si="24"/>
        <v>0.5601452229166668</v>
      </c>
      <c r="L119">
        <f t="shared" ca="1" si="17"/>
        <v>3.0138641975308476</v>
      </c>
    </row>
    <row r="120" spans="1:12" x14ac:dyDescent="0.2">
      <c r="A120">
        <v>118</v>
      </c>
      <c r="B120">
        <f ca="1">Computations!$B$2+A120*$P$2/$P$1</f>
        <v>0.12415</v>
      </c>
      <c r="C120">
        <f ca="1">LOOKUP(B120,Computations!$B$2:$B$100,Computations!$A$2:A$100)</f>
        <v>9</v>
      </c>
      <c r="D120">
        <f t="shared" ca="1" si="16"/>
        <v>0.12</v>
      </c>
      <c r="E120">
        <f t="shared" ca="1" si="18"/>
        <v>0.13500000000000001</v>
      </c>
      <c r="F120">
        <f t="shared" ca="1" si="19"/>
        <v>0.27666666666666651</v>
      </c>
      <c r="G120">
        <f t="shared" ca="1" si="20"/>
        <v>0.55000000000000004</v>
      </c>
      <c r="H120">
        <f t="shared" ca="1" si="21"/>
        <v>5.0000000000000017E-2</v>
      </c>
      <c r="I120">
        <f t="shared" ca="1" si="22"/>
        <v>-1.6666666666666829E-2</v>
      </c>
      <c r="J120">
        <f t="shared" ca="1" si="23"/>
        <v>1.6666666666666746E-2</v>
      </c>
      <c r="K120">
        <f t="shared" ca="1" si="24"/>
        <v>0.56291054753086422</v>
      </c>
      <c r="L120">
        <f t="shared" ca="1" si="17"/>
        <v>2.9778919753086281</v>
      </c>
    </row>
    <row r="121" spans="1:12" x14ac:dyDescent="0.2">
      <c r="A121">
        <v>119</v>
      </c>
      <c r="B121">
        <f ca="1">Computations!$B$2+A121*$P$2/$P$1</f>
        <v>0.12507499999999999</v>
      </c>
      <c r="C121">
        <f ca="1">LOOKUP(B121,Computations!$B$2:$B$100,Computations!$A$2:A$100)</f>
        <v>9</v>
      </c>
      <c r="D121">
        <f t="shared" ca="1" si="16"/>
        <v>0.12</v>
      </c>
      <c r="E121">
        <f t="shared" ca="1" si="18"/>
        <v>0.13500000000000001</v>
      </c>
      <c r="F121">
        <f t="shared" ca="1" si="19"/>
        <v>0.33833333333333276</v>
      </c>
      <c r="G121">
        <f t="shared" ca="1" si="20"/>
        <v>0.55000000000000004</v>
      </c>
      <c r="H121">
        <f t="shared" ca="1" si="21"/>
        <v>5.0000000000000017E-2</v>
      </c>
      <c r="I121">
        <f t="shared" ca="1" si="22"/>
        <v>-1.6666666666666829E-2</v>
      </c>
      <c r="J121">
        <f t="shared" ca="1" si="23"/>
        <v>1.6666666666666746E-2</v>
      </c>
      <c r="K121">
        <f t="shared" ca="1" si="24"/>
        <v>0.56565432307098773</v>
      </c>
      <c r="L121">
        <f t="shared" ca="1" si="17"/>
        <v>2.9672716049382588</v>
      </c>
    </row>
    <row r="122" spans="1:12" x14ac:dyDescent="0.2">
      <c r="A122">
        <v>120</v>
      </c>
      <c r="B122">
        <f ca="1">Computations!$B$2+A122*$P$2/$P$1</f>
        <v>0.126</v>
      </c>
      <c r="C122">
        <f ca="1">LOOKUP(B122,Computations!$B$2:$B$100,Computations!$A$2:A$100)</f>
        <v>9</v>
      </c>
      <c r="D122">
        <f t="shared" ca="1" si="16"/>
        <v>0.12</v>
      </c>
      <c r="E122">
        <f t="shared" ca="1" si="18"/>
        <v>0.13500000000000001</v>
      </c>
      <c r="F122">
        <f t="shared" ca="1" si="19"/>
        <v>0.4</v>
      </c>
      <c r="G122">
        <f t="shared" ca="1" si="20"/>
        <v>0.55000000000000004</v>
      </c>
      <c r="H122">
        <f t="shared" ca="1" si="21"/>
        <v>5.0000000000000017E-2</v>
      </c>
      <c r="I122">
        <f t="shared" ca="1" si="22"/>
        <v>-1.6666666666666829E-2</v>
      </c>
      <c r="J122">
        <f t="shared" ca="1" si="23"/>
        <v>1.6666666666666746E-2</v>
      </c>
      <c r="K122">
        <f t="shared" ca="1" si="24"/>
        <v>0.56840000000000002</v>
      </c>
      <c r="L122">
        <f t="shared" ca="1" si="17"/>
        <v>2.9820030864197009</v>
      </c>
    </row>
    <row r="123" spans="1:12" x14ac:dyDescent="0.2">
      <c r="A123">
        <v>121</v>
      </c>
      <c r="B123">
        <f ca="1">Computations!$B$2+A123*$P$2/$P$1</f>
        <v>0.12692500000000001</v>
      </c>
      <c r="C123">
        <f ca="1">LOOKUP(B123,Computations!$B$2:$B$100,Computations!$A$2:A$100)</f>
        <v>9</v>
      </c>
      <c r="D123">
        <f t="shared" ca="1" si="16"/>
        <v>0.12</v>
      </c>
      <c r="E123">
        <f t="shared" ca="1" si="18"/>
        <v>0.13500000000000001</v>
      </c>
      <c r="F123">
        <f t="shared" ca="1" si="19"/>
        <v>0.46166666666666722</v>
      </c>
      <c r="G123">
        <f t="shared" ca="1" si="20"/>
        <v>0.55000000000000004</v>
      </c>
      <c r="H123">
        <f t="shared" ca="1" si="21"/>
        <v>5.0000000000000017E-2</v>
      </c>
      <c r="I123">
        <f t="shared" ca="1" si="22"/>
        <v>-1.6666666666666829E-2</v>
      </c>
      <c r="J123">
        <f t="shared" ca="1" si="23"/>
        <v>1.6666666666666746E-2</v>
      </c>
      <c r="K123">
        <f t="shared" ca="1" si="24"/>
        <v>0.57117102878086423</v>
      </c>
      <c r="L123">
        <f t="shared" ca="1" si="17"/>
        <v>3.0220864197530979</v>
      </c>
    </row>
    <row r="124" spans="1:12" x14ac:dyDescent="0.2">
      <c r="A124">
        <v>122</v>
      </c>
      <c r="B124">
        <f ca="1">Computations!$B$2+A124*$P$2/$P$1</f>
        <v>0.12785000000000002</v>
      </c>
      <c r="C124">
        <f ca="1">LOOKUP(B124,Computations!$B$2:$B$100,Computations!$A$2:A$100)</f>
        <v>9</v>
      </c>
      <c r="D124">
        <f t="shared" ca="1" si="16"/>
        <v>0.12</v>
      </c>
      <c r="E124">
        <f t="shared" ca="1" si="18"/>
        <v>0.13500000000000001</v>
      </c>
      <c r="F124">
        <f t="shared" ca="1" si="19"/>
        <v>0.52333333333333443</v>
      </c>
      <c r="G124">
        <f t="shared" ca="1" si="20"/>
        <v>0.55000000000000004</v>
      </c>
      <c r="H124">
        <f t="shared" ca="1" si="21"/>
        <v>5.0000000000000017E-2</v>
      </c>
      <c r="I124">
        <f t="shared" ca="1" si="22"/>
        <v>-1.6666666666666829E-2</v>
      </c>
      <c r="J124">
        <f t="shared" ca="1" si="23"/>
        <v>1.6666666666666746E-2</v>
      </c>
      <c r="K124">
        <f t="shared" ca="1" si="24"/>
        <v>0.5739908598765433</v>
      </c>
      <c r="L124">
        <f t="shared" ca="1" si="17"/>
        <v>3.0875216049382925</v>
      </c>
    </row>
    <row r="125" spans="1:12" x14ac:dyDescent="0.2">
      <c r="A125">
        <v>123</v>
      </c>
      <c r="B125">
        <f ca="1">Computations!$B$2+A125*$P$2/$P$1</f>
        <v>0.128775</v>
      </c>
      <c r="C125">
        <f ca="1">LOOKUP(B125,Computations!$B$2:$B$100,Computations!$A$2:A$100)</f>
        <v>9</v>
      </c>
      <c r="D125">
        <f t="shared" ca="1" si="16"/>
        <v>0.12</v>
      </c>
      <c r="E125">
        <f t="shared" ca="1" si="18"/>
        <v>0.13500000000000001</v>
      </c>
      <c r="F125">
        <f t="shared" ca="1" si="19"/>
        <v>0.58499999999999985</v>
      </c>
      <c r="G125">
        <f t="shared" ca="1" si="20"/>
        <v>0.55000000000000004</v>
      </c>
      <c r="H125">
        <f t="shared" ca="1" si="21"/>
        <v>5.0000000000000017E-2</v>
      </c>
      <c r="I125">
        <f t="shared" ca="1" si="22"/>
        <v>-1.6666666666666829E-2</v>
      </c>
      <c r="J125">
        <f t="shared" ca="1" si="23"/>
        <v>1.6666666666666746E-2</v>
      </c>
      <c r="K125">
        <f t="shared" ca="1" si="24"/>
        <v>0.57688294375000004</v>
      </c>
      <c r="L125">
        <f t="shared" ca="1" si="17"/>
        <v>3.1783086419753142</v>
      </c>
    </row>
    <row r="126" spans="1:12" x14ac:dyDescent="0.2">
      <c r="A126">
        <v>124</v>
      </c>
      <c r="B126">
        <f ca="1">Computations!$B$2+A126*$P$2/$P$1</f>
        <v>0.12970000000000001</v>
      </c>
      <c r="C126">
        <f ca="1">LOOKUP(B126,Computations!$B$2:$B$100,Computations!$A$2:A$100)</f>
        <v>9</v>
      </c>
      <c r="D126">
        <f t="shared" ca="1" si="16"/>
        <v>0.12</v>
      </c>
      <c r="E126">
        <f t="shared" ca="1" si="18"/>
        <v>0.13500000000000001</v>
      </c>
      <c r="F126">
        <f t="shared" ca="1" si="19"/>
        <v>0.64666666666666706</v>
      </c>
      <c r="G126">
        <f t="shared" ca="1" si="20"/>
        <v>0.55000000000000004</v>
      </c>
      <c r="H126">
        <f t="shared" ca="1" si="21"/>
        <v>5.0000000000000017E-2</v>
      </c>
      <c r="I126">
        <f t="shared" ca="1" si="22"/>
        <v>-1.6666666666666829E-2</v>
      </c>
      <c r="J126">
        <f t="shared" ca="1" si="23"/>
        <v>1.6666666666666746E-2</v>
      </c>
      <c r="K126">
        <f t="shared" ca="1" si="24"/>
        <v>0.5798707308641976</v>
      </c>
      <c r="L126">
        <f t="shared" ca="1" si="17"/>
        <v>3.2944475308641481</v>
      </c>
    </row>
    <row r="127" spans="1:12" x14ac:dyDescent="0.2">
      <c r="A127">
        <v>125</v>
      </c>
      <c r="B127">
        <f ca="1">Computations!$B$2+A127*$P$2/$P$1</f>
        <v>0.13062499999999999</v>
      </c>
      <c r="C127">
        <f ca="1">LOOKUP(B127,Computations!$B$2:$B$100,Computations!$A$2:A$100)</f>
        <v>9</v>
      </c>
      <c r="D127">
        <f t="shared" ca="1" si="16"/>
        <v>0.12</v>
      </c>
      <c r="E127">
        <f t="shared" ca="1" si="18"/>
        <v>0.13500000000000001</v>
      </c>
      <c r="F127">
        <f t="shared" ca="1" si="19"/>
        <v>0.70833333333333237</v>
      </c>
      <c r="G127">
        <f t="shared" ca="1" si="20"/>
        <v>0.55000000000000004</v>
      </c>
      <c r="H127">
        <f t="shared" ca="1" si="21"/>
        <v>5.0000000000000017E-2</v>
      </c>
      <c r="I127">
        <f t="shared" ca="1" si="22"/>
        <v>-1.6666666666666829E-2</v>
      </c>
      <c r="J127">
        <f t="shared" ca="1" si="23"/>
        <v>1.6666666666666746E-2</v>
      </c>
      <c r="K127">
        <f t="shared" ca="1" si="24"/>
        <v>0.58297767168209869</v>
      </c>
      <c r="L127">
        <f t="shared" ca="1" si="17"/>
        <v>3.4359382716048539</v>
      </c>
    </row>
    <row r="128" spans="1:12" x14ac:dyDescent="0.2">
      <c r="A128">
        <v>126</v>
      </c>
      <c r="B128">
        <f ca="1">Computations!$B$2+A128*$P$2/$P$1</f>
        <v>0.13155</v>
      </c>
      <c r="C128">
        <f ca="1">LOOKUP(B128,Computations!$B$2:$B$100,Computations!$A$2:A$100)</f>
        <v>9</v>
      </c>
      <c r="D128">
        <f t="shared" ca="1" si="16"/>
        <v>0.12</v>
      </c>
      <c r="E128">
        <f t="shared" ca="1" si="18"/>
        <v>0.13500000000000001</v>
      </c>
      <c r="F128">
        <f t="shared" ca="1" si="19"/>
        <v>0.76999999999999968</v>
      </c>
      <c r="G128">
        <f t="shared" ca="1" si="20"/>
        <v>0.55000000000000004</v>
      </c>
      <c r="H128">
        <f t="shared" ca="1" si="21"/>
        <v>5.0000000000000017E-2</v>
      </c>
      <c r="I128">
        <f t="shared" ca="1" si="22"/>
        <v>-1.6666666666666829E-2</v>
      </c>
      <c r="J128">
        <f t="shared" ca="1" si="23"/>
        <v>1.6666666666666746E-2</v>
      </c>
      <c r="K128">
        <f t="shared" ca="1" si="24"/>
        <v>0.58622721666666655</v>
      </c>
      <c r="L128">
        <f t="shared" ca="1" si="17"/>
        <v>3.6027808641975585</v>
      </c>
    </row>
    <row r="129" spans="1:12" x14ac:dyDescent="0.2">
      <c r="A129">
        <v>127</v>
      </c>
      <c r="B129">
        <f ca="1">Computations!$B$2+A129*$P$2/$P$1</f>
        <v>0.13247500000000001</v>
      </c>
      <c r="C129">
        <f ca="1">LOOKUP(B129,Computations!$B$2:$B$100,Computations!$A$2:A$100)</f>
        <v>9</v>
      </c>
      <c r="D129">
        <f t="shared" ca="1" si="16"/>
        <v>0.12</v>
      </c>
      <c r="E129">
        <f t="shared" ca="1" si="18"/>
        <v>0.13500000000000001</v>
      </c>
      <c r="F129">
        <f t="shared" ca="1" si="19"/>
        <v>0.83166666666666689</v>
      </c>
      <c r="G129">
        <f t="shared" ca="1" si="20"/>
        <v>0.55000000000000004</v>
      </c>
      <c r="H129">
        <f t="shared" ca="1" si="21"/>
        <v>5.0000000000000017E-2</v>
      </c>
      <c r="I129">
        <f t="shared" ca="1" si="22"/>
        <v>-1.6666666666666829E-2</v>
      </c>
      <c r="J129">
        <f t="shared" ca="1" si="23"/>
        <v>1.6666666666666746E-2</v>
      </c>
      <c r="K129">
        <f t="shared" ca="1" si="24"/>
        <v>0.58964281628086423</v>
      </c>
      <c r="L129">
        <f t="shared" ca="1" si="17"/>
        <v>3.7949753086420062</v>
      </c>
    </row>
    <row r="130" spans="1:12" x14ac:dyDescent="0.2">
      <c r="A130">
        <v>128</v>
      </c>
      <c r="B130">
        <f ca="1">Computations!$B$2+A130*$P$2/$P$1</f>
        <v>0.13340000000000002</v>
      </c>
      <c r="C130">
        <f ca="1">LOOKUP(B130,Computations!$B$2:$B$100,Computations!$A$2:A$100)</f>
        <v>9</v>
      </c>
      <c r="D130">
        <f t="shared" ca="1" si="16"/>
        <v>0.12</v>
      </c>
      <c r="E130">
        <f t="shared" ca="1" si="18"/>
        <v>0.13500000000000001</v>
      </c>
      <c r="F130">
        <f t="shared" ca="1" si="19"/>
        <v>0.89333333333333409</v>
      </c>
      <c r="G130">
        <f t="shared" ca="1" si="20"/>
        <v>0.55000000000000004</v>
      </c>
      <c r="H130">
        <f t="shared" ca="1" si="21"/>
        <v>5.0000000000000017E-2</v>
      </c>
      <c r="I130">
        <f t="shared" ca="1" si="22"/>
        <v>-1.6666666666666829E-2</v>
      </c>
      <c r="J130">
        <f t="shared" ca="1" si="23"/>
        <v>1.6666666666666746E-2</v>
      </c>
      <c r="K130">
        <f t="shared" ca="1" si="24"/>
        <v>0.59324792098765433</v>
      </c>
      <c r="L130">
        <f t="shared" ca="1" si="17"/>
        <v>4.0125216049382058</v>
      </c>
    </row>
    <row r="131" spans="1:12" x14ac:dyDescent="0.2">
      <c r="A131">
        <v>129</v>
      </c>
      <c r="B131">
        <f ca="1">Computations!$B$2+A131*$P$2/$P$1</f>
        <v>0.13432499999999997</v>
      </c>
      <c r="C131">
        <f ca="1">LOOKUP(B131,Computations!$B$2:$B$100,Computations!$A$2:A$100)</f>
        <v>9</v>
      </c>
      <c r="D131">
        <f t="shared" ref="D131:D194" ca="1" si="25">INDIRECT("Computations!B"&amp;C131)</f>
        <v>0.12</v>
      </c>
      <c r="E131">
        <f t="shared" ca="1" si="18"/>
        <v>0.13500000000000001</v>
      </c>
      <c r="F131">
        <f t="shared" ca="1" si="19"/>
        <v>0.95499999999999763</v>
      </c>
      <c r="G131">
        <f t="shared" ca="1" si="20"/>
        <v>0.55000000000000004</v>
      </c>
      <c r="H131">
        <f t="shared" ca="1" si="21"/>
        <v>5.0000000000000017E-2</v>
      </c>
      <c r="I131">
        <f t="shared" ca="1" si="22"/>
        <v>-1.6666666666666829E-2</v>
      </c>
      <c r="J131">
        <f t="shared" ca="1" si="23"/>
        <v>1.6666666666666746E-2</v>
      </c>
      <c r="K131">
        <f t="shared" ca="1" si="24"/>
        <v>0.59706598124999977</v>
      </c>
      <c r="L131">
        <f t="shared" ca="1" si="17"/>
        <v>4.2622047639036147</v>
      </c>
    </row>
    <row r="132" spans="1:12" x14ac:dyDescent="0.2">
      <c r="A132">
        <v>130</v>
      </c>
      <c r="B132">
        <f ca="1">Computations!$B$2+A132*$P$2/$P$1</f>
        <v>0.13525000000000001</v>
      </c>
      <c r="C132">
        <f ca="1">LOOKUP(B132,Computations!$B$2:$B$100,Computations!$A$2:A$100)</f>
        <v>10</v>
      </c>
      <c r="D132">
        <f t="shared" ca="1" si="25"/>
        <v>0.13500000000000001</v>
      </c>
      <c r="E132">
        <f t="shared" ca="1" si="18"/>
        <v>0.15000000000000002</v>
      </c>
      <c r="F132">
        <f t="shared" ca="1" si="19"/>
        <v>1.6666666666666666E-2</v>
      </c>
      <c r="G132">
        <f t="shared" ca="1" si="20"/>
        <v>0.6</v>
      </c>
      <c r="H132">
        <f t="shared" ca="1" si="21"/>
        <v>6.6666666666666596E-2</v>
      </c>
      <c r="I132">
        <f t="shared" ca="1" si="22"/>
        <v>7.956989247311827E-2</v>
      </c>
      <c r="J132">
        <f t="shared" ca="1" si="23"/>
        <v>-4.6236559139784889E-2</v>
      </c>
      <c r="K132">
        <f t="shared" ca="1" si="24"/>
        <v>0.60113299980087598</v>
      </c>
      <c r="L132">
        <f t="shared" ref="L132:L195" ca="1" si="26">(K133-K131)/(B133-B131)</f>
        <v>4.6606846026134061</v>
      </c>
    </row>
    <row r="133" spans="1:12" x14ac:dyDescent="0.2">
      <c r="A133">
        <v>131</v>
      </c>
      <c r="B133">
        <f ca="1">Computations!$B$2+A133*$P$2/$P$1</f>
        <v>0.13617499999999999</v>
      </c>
      <c r="C133">
        <f ca="1">LOOKUP(B133,Computations!$B$2:$B$100,Computations!$A$2:A$100)</f>
        <v>10</v>
      </c>
      <c r="D133">
        <f t="shared" ca="1" si="25"/>
        <v>0.13500000000000001</v>
      </c>
      <c r="E133">
        <f t="shared" ca="1" si="18"/>
        <v>0.15000000000000002</v>
      </c>
      <c r="F133">
        <f t="shared" ca="1" si="19"/>
        <v>7.8333333333332034E-2</v>
      </c>
      <c r="G133">
        <f t="shared" ca="1" si="20"/>
        <v>0.6</v>
      </c>
      <c r="H133">
        <f t="shared" ca="1" si="21"/>
        <v>6.6666666666666596E-2</v>
      </c>
      <c r="I133">
        <f t="shared" ca="1" si="22"/>
        <v>7.956989247311827E-2</v>
      </c>
      <c r="J133">
        <f t="shared" ca="1" si="23"/>
        <v>-4.6236559139784889E-2</v>
      </c>
      <c r="K133">
        <f t="shared" ca="1" si="24"/>
        <v>0.60568824776483465</v>
      </c>
      <c r="L133">
        <f t="shared" ca="1" si="26"/>
        <v>5.2070434090004909</v>
      </c>
    </row>
    <row r="134" spans="1:12" x14ac:dyDescent="0.2">
      <c r="A134">
        <v>132</v>
      </c>
      <c r="B134">
        <f ca="1">Computations!$B$2+A134*$P$2/$P$1</f>
        <v>0.1371</v>
      </c>
      <c r="C134">
        <f ca="1">LOOKUP(B134,Computations!$B$2:$B$100,Computations!$A$2:A$100)</f>
        <v>10</v>
      </c>
      <c r="D134">
        <f t="shared" ca="1" si="25"/>
        <v>0.13500000000000001</v>
      </c>
      <c r="E134">
        <f t="shared" ca="1" si="18"/>
        <v>0.15000000000000002</v>
      </c>
      <c r="F134">
        <f t="shared" ca="1" si="19"/>
        <v>0.13999999999999926</v>
      </c>
      <c r="G134">
        <f t="shared" ca="1" si="20"/>
        <v>0.6</v>
      </c>
      <c r="H134">
        <f t="shared" ca="1" si="21"/>
        <v>6.6666666666666596E-2</v>
      </c>
      <c r="I134">
        <f t="shared" ca="1" si="22"/>
        <v>7.956989247311827E-2</v>
      </c>
      <c r="J134">
        <f t="shared" ca="1" si="23"/>
        <v>-4.6236559139784889E-2</v>
      </c>
      <c r="K134">
        <f t="shared" ca="1" si="24"/>
        <v>0.61076603010752684</v>
      </c>
      <c r="L134">
        <f t="shared" ca="1" si="26"/>
        <v>5.7367799681401372</v>
      </c>
    </row>
    <row r="135" spans="1:12" x14ac:dyDescent="0.2">
      <c r="A135">
        <v>133</v>
      </c>
      <c r="B135">
        <f ca="1">Computations!$B$2+A135*$P$2/$P$1</f>
        <v>0.13802500000000001</v>
      </c>
      <c r="C135">
        <f ca="1">LOOKUP(B135,Computations!$B$2:$B$100,Computations!$A$2:A$100)</f>
        <v>10</v>
      </c>
      <c r="D135">
        <f t="shared" ca="1" si="25"/>
        <v>0.13500000000000001</v>
      </c>
      <c r="E135">
        <f t="shared" ca="1" si="18"/>
        <v>0.15000000000000002</v>
      </c>
      <c r="F135">
        <f t="shared" ca="1" si="19"/>
        <v>0.20166666666666649</v>
      </c>
      <c r="G135">
        <f t="shared" ca="1" si="20"/>
        <v>0.6</v>
      </c>
      <c r="H135">
        <f t="shared" ca="1" si="21"/>
        <v>6.6666666666666596E-2</v>
      </c>
      <c r="I135">
        <f t="shared" ca="1" si="22"/>
        <v>7.956989247311827E-2</v>
      </c>
      <c r="J135">
        <f t="shared" ca="1" si="23"/>
        <v>-4.6236559139784889E-2</v>
      </c>
      <c r="K135">
        <f t="shared" ca="1" si="24"/>
        <v>0.61630129070589401</v>
      </c>
      <c r="L135">
        <f t="shared" ca="1" si="26"/>
        <v>6.1961855834328512</v>
      </c>
    </row>
    <row r="136" spans="1:12" x14ac:dyDescent="0.2">
      <c r="A136">
        <v>134</v>
      </c>
      <c r="B136">
        <f ca="1">Computations!$B$2+A136*$P$2/$P$1</f>
        <v>0.13894999999999999</v>
      </c>
      <c r="C136">
        <f ca="1">LOOKUP(B136,Computations!$B$2:$B$100,Computations!$A$2:A$100)</f>
        <v>10</v>
      </c>
      <c r="D136">
        <f t="shared" ca="1" si="25"/>
        <v>0.13500000000000001</v>
      </c>
      <c r="E136">
        <f t="shared" ca="1" si="18"/>
        <v>0.15000000000000002</v>
      </c>
      <c r="F136">
        <f t="shared" ca="1" si="19"/>
        <v>0.26333333333333186</v>
      </c>
      <c r="G136">
        <f t="shared" ca="1" si="20"/>
        <v>0.6</v>
      </c>
      <c r="H136">
        <f t="shared" ca="1" si="21"/>
        <v>6.6666666666666596E-2</v>
      </c>
      <c r="I136">
        <f t="shared" ca="1" si="22"/>
        <v>7.956989247311827E-2</v>
      </c>
      <c r="J136">
        <f t="shared" ca="1" si="23"/>
        <v>-4.6236559139784889E-2</v>
      </c>
      <c r="K136">
        <f t="shared" ca="1" si="24"/>
        <v>0.62222897343687755</v>
      </c>
      <c r="L136">
        <f t="shared" ca="1" si="26"/>
        <v>6.5852602548785164</v>
      </c>
    </row>
    <row r="137" spans="1:12" x14ac:dyDescent="0.2">
      <c r="A137">
        <v>135</v>
      </c>
      <c r="B137">
        <f ca="1">Computations!$B$2+A137*$P$2/$P$1</f>
        <v>0.13987500000000003</v>
      </c>
      <c r="C137">
        <f ca="1">LOOKUP(B137,Computations!$B$2:$B$100,Computations!$A$2:A$100)</f>
        <v>10</v>
      </c>
      <c r="D137">
        <f t="shared" ca="1" si="25"/>
        <v>0.13500000000000001</v>
      </c>
      <c r="E137">
        <f t="shared" ca="1" si="18"/>
        <v>0.15000000000000002</v>
      </c>
      <c r="F137">
        <f t="shared" ca="1" si="19"/>
        <v>0.3250000000000009</v>
      </c>
      <c r="G137">
        <f t="shared" ca="1" si="20"/>
        <v>0.6</v>
      </c>
      <c r="H137">
        <f t="shared" ca="1" si="21"/>
        <v>6.6666666666666596E-2</v>
      </c>
      <c r="I137">
        <f t="shared" ca="1" si="22"/>
        <v>7.956989247311827E-2</v>
      </c>
      <c r="J137">
        <f t="shared" ca="1" si="23"/>
        <v>-4.6236559139784889E-2</v>
      </c>
      <c r="K137">
        <f t="shared" ca="1" si="24"/>
        <v>0.62848402217741939</v>
      </c>
      <c r="L137">
        <f t="shared" ca="1" si="26"/>
        <v>6.9040039824770352</v>
      </c>
    </row>
    <row r="138" spans="1:12" x14ac:dyDescent="0.2">
      <c r="A138">
        <v>136</v>
      </c>
      <c r="B138">
        <f ca="1">Computations!$B$2+A138*$P$2/$P$1</f>
        <v>0.14079999999999998</v>
      </c>
      <c r="C138">
        <f ca="1">LOOKUP(B138,Computations!$B$2:$B$100,Computations!$A$2:A$100)</f>
        <v>10</v>
      </c>
      <c r="D138">
        <f t="shared" ca="1" si="25"/>
        <v>0.13500000000000001</v>
      </c>
      <c r="E138">
        <f t="shared" ca="1" si="18"/>
        <v>0.15000000000000002</v>
      </c>
      <c r="F138">
        <f t="shared" ca="1" si="19"/>
        <v>0.38666666666666444</v>
      </c>
      <c r="G138">
        <f t="shared" ca="1" si="20"/>
        <v>0.6</v>
      </c>
      <c r="H138">
        <f t="shared" ca="1" si="21"/>
        <v>6.6666666666666596E-2</v>
      </c>
      <c r="I138">
        <f t="shared" ca="1" si="22"/>
        <v>7.956989247311827E-2</v>
      </c>
      <c r="J138">
        <f t="shared" ca="1" si="23"/>
        <v>-4.6236559139784889E-2</v>
      </c>
      <c r="K138">
        <f t="shared" ca="1" si="24"/>
        <v>0.63500138080446</v>
      </c>
      <c r="L138">
        <f t="shared" ca="1" si="26"/>
        <v>7.152416766228578</v>
      </c>
    </row>
    <row r="139" spans="1:12" x14ac:dyDescent="0.2">
      <c r="A139">
        <v>137</v>
      </c>
      <c r="B139">
        <f ca="1">Computations!$B$2+A139*$P$2/$P$1</f>
        <v>0.14172499999999999</v>
      </c>
      <c r="C139">
        <f ca="1">LOOKUP(B139,Computations!$B$2:$B$100,Computations!$A$2:A$100)</f>
        <v>10</v>
      </c>
      <c r="D139">
        <f t="shared" ca="1" si="25"/>
        <v>0.13500000000000001</v>
      </c>
      <c r="E139">
        <f t="shared" ca="1" si="18"/>
        <v>0.15000000000000002</v>
      </c>
      <c r="F139">
        <f t="shared" ca="1" si="19"/>
        <v>0.44833333333333164</v>
      </c>
      <c r="G139">
        <f t="shared" ca="1" si="20"/>
        <v>0.6</v>
      </c>
      <c r="H139">
        <f t="shared" ca="1" si="21"/>
        <v>6.6666666666666596E-2</v>
      </c>
      <c r="I139">
        <f t="shared" ca="1" si="22"/>
        <v>7.956989247311827E-2</v>
      </c>
      <c r="J139">
        <f t="shared" ca="1" si="23"/>
        <v>-4.6236559139784889E-2</v>
      </c>
      <c r="K139">
        <f t="shared" ca="1" si="24"/>
        <v>0.64171599319494199</v>
      </c>
      <c r="L139">
        <f t="shared" ca="1" si="26"/>
        <v>7.3304986061330526</v>
      </c>
    </row>
    <row r="140" spans="1:12" x14ac:dyDescent="0.2">
      <c r="A140">
        <v>138</v>
      </c>
      <c r="B140">
        <f ca="1">Computations!$B$2+A140*$P$2/$P$1</f>
        <v>0.14265</v>
      </c>
      <c r="C140">
        <f ca="1">LOOKUP(B140,Computations!$B$2:$B$100,Computations!$A$2:A$100)</f>
        <v>10</v>
      </c>
      <c r="D140">
        <f t="shared" ca="1" si="25"/>
        <v>0.13500000000000001</v>
      </c>
      <c r="E140">
        <f t="shared" ca="1" si="18"/>
        <v>0.15000000000000002</v>
      </c>
      <c r="F140">
        <f t="shared" ca="1" si="19"/>
        <v>0.5099999999999989</v>
      </c>
      <c r="G140">
        <f t="shared" ca="1" si="20"/>
        <v>0.6</v>
      </c>
      <c r="H140">
        <f t="shared" ca="1" si="21"/>
        <v>6.6666666666666596E-2</v>
      </c>
      <c r="I140">
        <f t="shared" ca="1" si="22"/>
        <v>7.956989247311827E-2</v>
      </c>
      <c r="J140">
        <f t="shared" ca="1" si="23"/>
        <v>-4.6236559139784889E-2</v>
      </c>
      <c r="K140">
        <f t="shared" ca="1" si="24"/>
        <v>0.64856280322580628</v>
      </c>
      <c r="L140">
        <f t="shared" ca="1" si="26"/>
        <v>7.4382495021903381</v>
      </c>
    </row>
    <row r="141" spans="1:12" x14ac:dyDescent="0.2">
      <c r="A141">
        <v>139</v>
      </c>
      <c r="B141">
        <f ca="1">Computations!$B$2+A141*$P$2/$P$1</f>
        <v>0.14357500000000001</v>
      </c>
      <c r="C141">
        <f ca="1">LOOKUP(B141,Computations!$B$2:$B$100,Computations!$A$2:A$100)</f>
        <v>10</v>
      </c>
      <c r="D141">
        <f t="shared" ca="1" si="25"/>
        <v>0.13500000000000001</v>
      </c>
      <c r="E141">
        <f t="shared" ca="1" si="18"/>
        <v>0.15000000000000002</v>
      </c>
      <c r="F141">
        <f t="shared" ca="1" si="19"/>
        <v>0.5716666666666661</v>
      </c>
      <c r="G141">
        <f t="shared" ca="1" si="20"/>
        <v>0.6</v>
      </c>
      <c r="H141">
        <f t="shared" ca="1" si="21"/>
        <v>6.6666666666666596E-2</v>
      </c>
      <c r="I141">
        <f t="shared" ca="1" si="22"/>
        <v>7.956989247311827E-2</v>
      </c>
      <c r="J141">
        <f t="shared" ca="1" si="23"/>
        <v>-4.6236559139784889E-2</v>
      </c>
      <c r="K141">
        <f t="shared" ca="1" si="24"/>
        <v>0.65547675477399425</v>
      </c>
      <c r="L141">
        <f t="shared" ca="1" si="26"/>
        <v>7.4756694544006397</v>
      </c>
    </row>
    <row r="142" spans="1:12" x14ac:dyDescent="0.2">
      <c r="A142">
        <v>140</v>
      </c>
      <c r="B142">
        <f ca="1">Computations!$B$2+A142*$P$2/$P$1</f>
        <v>0.14450000000000002</v>
      </c>
      <c r="C142">
        <f ca="1">LOOKUP(B142,Computations!$B$2:$B$100,Computations!$A$2:A$100)</f>
        <v>10</v>
      </c>
      <c r="D142">
        <f t="shared" ca="1" si="25"/>
        <v>0.13500000000000001</v>
      </c>
      <c r="E142">
        <f t="shared" ca="1" si="18"/>
        <v>0.15000000000000002</v>
      </c>
      <c r="F142">
        <f t="shared" ca="1" si="19"/>
        <v>0.6333333333333333</v>
      </c>
      <c r="G142">
        <f t="shared" ca="1" si="20"/>
        <v>0.6</v>
      </c>
      <c r="H142">
        <f t="shared" ca="1" si="21"/>
        <v>6.6666666666666596E-2</v>
      </c>
      <c r="I142">
        <f t="shared" ca="1" si="22"/>
        <v>7.956989247311827E-2</v>
      </c>
      <c r="J142">
        <f t="shared" ca="1" si="23"/>
        <v>-4.6236559139784889E-2</v>
      </c>
      <c r="K142">
        <f t="shared" ca="1" si="24"/>
        <v>0.6623927917164476</v>
      </c>
      <c r="L142">
        <f t="shared" ca="1" si="26"/>
        <v>7.4427584627638392</v>
      </c>
    </row>
    <row r="143" spans="1:12" x14ac:dyDescent="0.2">
      <c r="A143">
        <v>141</v>
      </c>
      <c r="B143">
        <f ca="1">Computations!$B$2+A143*$P$2/$P$1</f>
        <v>0.14542500000000003</v>
      </c>
      <c r="C143">
        <f ca="1">LOOKUP(B143,Computations!$B$2:$B$100,Computations!$A$2:A$100)</f>
        <v>10</v>
      </c>
      <c r="D143">
        <f t="shared" ca="1" si="25"/>
        <v>0.13500000000000001</v>
      </c>
      <c r="E143">
        <f t="shared" ca="1" si="18"/>
        <v>0.15000000000000002</v>
      </c>
      <c r="F143">
        <f t="shared" ca="1" si="19"/>
        <v>0.69500000000000051</v>
      </c>
      <c r="G143">
        <f t="shared" ca="1" si="20"/>
        <v>0.6</v>
      </c>
      <c r="H143">
        <f t="shared" ca="1" si="21"/>
        <v>6.6666666666666596E-2</v>
      </c>
      <c r="I143">
        <f t="shared" ca="1" si="22"/>
        <v>7.956989247311827E-2</v>
      </c>
      <c r="J143">
        <f t="shared" ca="1" si="23"/>
        <v>-4.6236559139784889E-2</v>
      </c>
      <c r="K143">
        <f t="shared" ca="1" si="24"/>
        <v>0.66924585793010749</v>
      </c>
      <c r="L143">
        <f t="shared" ca="1" si="26"/>
        <v>7.3395165272799145</v>
      </c>
    </row>
    <row r="144" spans="1:12" x14ac:dyDescent="0.2">
      <c r="A144">
        <v>142</v>
      </c>
      <c r="B144">
        <f ca="1">Computations!$B$2+A144*$P$2/$P$1</f>
        <v>0.14634999999999998</v>
      </c>
      <c r="C144">
        <f ca="1">LOOKUP(B144,Computations!$B$2:$B$100,Computations!$A$2:A$100)</f>
        <v>10</v>
      </c>
      <c r="D144">
        <f t="shared" ca="1" si="25"/>
        <v>0.13500000000000001</v>
      </c>
      <c r="E144">
        <f t="shared" ca="1" si="18"/>
        <v>0.15000000000000002</v>
      </c>
      <c r="F144">
        <f t="shared" ca="1" si="19"/>
        <v>0.75666666666666405</v>
      </c>
      <c r="G144">
        <f t="shared" ca="1" si="20"/>
        <v>0.6</v>
      </c>
      <c r="H144">
        <f t="shared" ca="1" si="21"/>
        <v>6.6666666666666596E-2</v>
      </c>
      <c r="I144">
        <f t="shared" ca="1" si="22"/>
        <v>7.956989247311827E-2</v>
      </c>
      <c r="J144">
        <f t="shared" ca="1" si="23"/>
        <v>-4.6236559139784889E-2</v>
      </c>
      <c r="K144">
        <f t="shared" ca="1" si="24"/>
        <v>0.67597089729191517</v>
      </c>
      <c r="L144">
        <f t="shared" ca="1" si="26"/>
        <v>7.1659436479490219</v>
      </c>
    </row>
    <row r="145" spans="1:12" x14ac:dyDescent="0.2">
      <c r="A145">
        <v>143</v>
      </c>
      <c r="B145">
        <f ca="1">Computations!$B$2+A145*$P$2/$P$1</f>
        <v>0.14727499999999999</v>
      </c>
      <c r="C145">
        <f ca="1">LOOKUP(B145,Computations!$B$2:$B$100,Computations!$A$2:A$100)</f>
        <v>10</v>
      </c>
      <c r="D145">
        <f t="shared" ca="1" si="25"/>
        <v>0.13500000000000001</v>
      </c>
      <c r="E145">
        <f t="shared" ca="1" si="18"/>
        <v>0.15000000000000002</v>
      </c>
      <c r="F145">
        <f t="shared" ca="1" si="19"/>
        <v>0.81833333333333125</v>
      </c>
      <c r="G145">
        <f t="shared" ca="1" si="20"/>
        <v>0.6</v>
      </c>
      <c r="H145">
        <f t="shared" ca="1" si="21"/>
        <v>6.6666666666666596E-2</v>
      </c>
      <c r="I145">
        <f t="shared" ca="1" si="22"/>
        <v>7.956989247311827E-2</v>
      </c>
      <c r="J145">
        <f t="shared" ca="1" si="23"/>
        <v>-4.6236559139784889E-2</v>
      </c>
      <c r="K145">
        <f t="shared" ca="1" si="24"/>
        <v>0.68250285367881292</v>
      </c>
      <c r="L145">
        <f t="shared" ca="1" si="26"/>
        <v>6.9220398247710566</v>
      </c>
    </row>
    <row r="146" spans="1:12" x14ac:dyDescent="0.2">
      <c r="A146">
        <v>144</v>
      </c>
      <c r="B146">
        <f ca="1">Computations!$B$2+A146*$P$2/$P$1</f>
        <v>0.1482</v>
      </c>
      <c r="C146">
        <f ca="1">LOOKUP(B146,Computations!$B$2:$B$100,Computations!$A$2:A$100)</f>
        <v>10</v>
      </c>
      <c r="D146">
        <f t="shared" ca="1" si="25"/>
        <v>0.13500000000000001</v>
      </c>
      <c r="E146">
        <f t="shared" ca="1" si="18"/>
        <v>0.15000000000000002</v>
      </c>
      <c r="F146">
        <f t="shared" ca="1" si="19"/>
        <v>0.87999999999999856</v>
      </c>
      <c r="G146">
        <f t="shared" ca="1" si="20"/>
        <v>0.6</v>
      </c>
      <c r="H146">
        <f t="shared" ca="1" si="21"/>
        <v>6.6666666666666596E-2</v>
      </c>
      <c r="I146">
        <f t="shared" ca="1" si="22"/>
        <v>7.956989247311827E-2</v>
      </c>
      <c r="J146">
        <f t="shared" ca="1" si="23"/>
        <v>-4.6236559139784889E-2</v>
      </c>
      <c r="K146">
        <f t="shared" ca="1" si="24"/>
        <v>0.68877667096774176</v>
      </c>
      <c r="L146">
        <f t="shared" ca="1" si="26"/>
        <v>6.607805057746023</v>
      </c>
    </row>
    <row r="147" spans="1:12" x14ac:dyDescent="0.2">
      <c r="A147">
        <v>145</v>
      </c>
      <c r="B147">
        <f ca="1">Computations!$B$2+A147*$P$2/$P$1</f>
        <v>0.14912500000000001</v>
      </c>
      <c r="C147">
        <f ca="1">LOOKUP(B147,Computations!$B$2:$B$100,Computations!$A$2:A$100)</f>
        <v>10</v>
      </c>
      <c r="D147">
        <f t="shared" ca="1" si="25"/>
        <v>0.13500000000000001</v>
      </c>
      <c r="E147">
        <f t="shared" ca="1" si="18"/>
        <v>0.15000000000000002</v>
      </c>
      <c r="F147">
        <f t="shared" ca="1" si="19"/>
        <v>0.94166666666666576</v>
      </c>
      <c r="G147">
        <f t="shared" ca="1" si="20"/>
        <v>0.6</v>
      </c>
      <c r="H147">
        <f t="shared" ca="1" si="21"/>
        <v>6.6666666666666596E-2</v>
      </c>
      <c r="I147">
        <f t="shared" ca="1" si="22"/>
        <v>7.956989247311827E-2</v>
      </c>
      <c r="J147">
        <f t="shared" ca="1" si="23"/>
        <v>-4.6236559139784889E-2</v>
      </c>
      <c r="K147">
        <f t="shared" ca="1" si="24"/>
        <v>0.69472729303564318</v>
      </c>
      <c r="L147">
        <f t="shared" ca="1" si="26"/>
        <v>6.2234742574963713</v>
      </c>
    </row>
    <row r="148" spans="1:12" x14ac:dyDescent="0.2">
      <c r="A148">
        <v>146</v>
      </c>
      <c r="B148">
        <f ca="1">Computations!$B$2+A148*$P$2/$P$1</f>
        <v>0.15005000000000002</v>
      </c>
      <c r="C148">
        <f ca="1">LOOKUP(B148,Computations!$B$2:$B$100,Computations!$A$2:A$100)</f>
        <v>11</v>
      </c>
      <c r="D148">
        <f t="shared" ca="1" si="25"/>
        <v>0.15000000000000002</v>
      </c>
      <c r="E148">
        <f t="shared" ca="1" si="18"/>
        <v>0.18</v>
      </c>
      <c r="F148">
        <f t="shared" ca="1" si="19"/>
        <v>1.6666666666664846E-3</v>
      </c>
      <c r="G148">
        <f t="shared" ca="1" si="20"/>
        <v>0.7</v>
      </c>
      <c r="H148">
        <f t="shared" ca="1" si="21"/>
        <v>0.17419354838709661</v>
      </c>
      <c r="I148">
        <f t="shared" ca="1" si="22"/>
        <v>-8.081952920662544E-2</v>
      </c>
      <c r="J148">
        <f t="shared" ca="1" si="23"/>
        <v>5.6625980819528854E-2</v>
      </c>
      <c r="K148">
        <f t="shared" ca="1" si="24"/>
        <v>0.70029009834411016</v>
      </c>
      <c r="L148">
        <f t="shared" ca="1" si="26"/>
        <v>5.865175958357109</v>
      </c>
    </row>
    <row r="149" spans="1:12" x14ac:dyDescent="0.2">
      <c r="A149">
        <v>147</v>
      </c>
      <c r="B149">
        <f ca="1">Computations!$B$2+A149*$P$2/$P$1</f>
        <v>0.15097500000000003</v>
      </c>
      <c r="C149">
        <f ca="1">LOOKUP(B149,Computations!$B$2:$B$100,Computations!$A$2:A$100)</f>
        <v>11</v>
      </c>
      <c r="D149">
        <f t="shared" ca="1" si="25"/>
        <v>0.15000000000000002</v>
      </c>
      <c r="E149">
        <f t="shared" ca="1" si="18"/>
        <v>0.18</v>
      </c>
      <c r="F149">
        <f t="shared" ca="1" si="19"/>
        <v>3.2500000000000154E-2</v>
      </c>
      <c r="G149">
        <f t="shared" ca="1" si="20"/>
        <v>0.7</v>
      </c>
      <c r="H149">
        <f t="shared" ca="1" si="21"/>
        <v>0.17419354838709661</v>
      </c>
      <c r="I149">
        <f t="shared" ca="1" si="22"/>
        <v>-8.081952920662544E-2</v>
      </c>
      <c r="J149">
        <f t="shared" ca="1" si="23"/>
        <v>5.6625980819528854E-2</v>
      </c>
      <c r="K149">
        <f t="shared" ca="1" si="24"/>
        <v>0.70557786855860394</v>
      </c>
      <c r="L149">
        <f t="shared" ca="1" si="26"/>
        <v>5.6391182190255389</v>
      </c>
    </row>
    <row r="150" spans="1:12" x14ac:dyDescent="0.2">
      <c r="A150">
        <v>148</v>
      </c>
      <c r="B150">
        <f ca="1">Computations!$B$2+A150*$P$2/$P$1</f>
        <v>0.15189999999999998</v>
      </c>
      <c r="C150">
        <f ca="1">LOOKUP(B150,Computations!$B$2:$B$100,Computations!$A$2:A$100)</f>
        <v>11</v>
      </c>
      <c r="D150">
        <f t="shared" ca="1" si="25"/>
        <v>0.15000000000000002</v>
      </c>
      <c r="E150">
        <f t="shared" ca="1" si="18"/>
        <v>0.18</v>
      </c>
      <c r="F150">
        <f t="shared" ca="1" si="19"/>
        <v>6.3333333333331965E-2</v>
      </c>
      <c r="G150">
        <f t="shared" ca="1" si="20"/>
        <v>0.7</v>
      </c>
      <c r="H150">
        <f t="shared" ca="1" si="21"/>
        <v>0.17419354838709661</v>
      </c>
      <c r="I150">
        <f t="shared" ca="1" si="22"/>
        <v>-8.081952920662544E-2</v>
      </c>
      <c r="J150">
        <f t="shared" ca="1" si="23"/>
        <v>5.6625980819528854E-2</v>
      </c>
      <c r="K150">
        <f t="shared" ca="1" si="24"/>
        <v>0.71072246704930719</v>
      </c>
      <c r="L150">
        <f t="shared" ca="1" si="26"/>
        <v>5.4897213776276166</v>
      </c>
    </row>
    <row r="151" spans="1:12" x14ac:dyDescent="0.2">
      <c r="A151">
        <v>149</v>
      </c>
      <c r="B151">
        <f ca="1">Computations!$B$2+A151*$P$2/$P$1</f>
        <v>0.15282499999999999</v>
      </c>
      <c r="C151">
        <f ca="1">LOOKUP(B151,Computations!$B$2:$B$100,Computations!$A$2:A$100)</f>
        <v>11</v>
      </c>
      <c r="D151">
        <f t="shared" ca="1" si="25"/>
        <v>0.15000000000000002</v>
      </c>
      <c r="E151">
        <f t="shared" ca="1" si="18"/>
        <v>0.18</v>
      </c>
      <c r="F151">
        <f t="shared" ca="1" si="19"/>
        <v>9.4166666666665635E-2</v>
      </c>
      <c r="G151">
        <f t="shared" ca="1" si="20"/>
        <v>0.7</v>
      </c>
      <c r="H151">
        <f t="shared" ca="1" si="21"/>
        <v>0.17419354838709661</v>
      </c>
      <c r="I151">
        <f t="shared" ca="1" si="22"/>
        <v>-8.081952920662544E-2</v>
      </c>
      <c r="J151">
        <f t="shared" ca="1" si="23"/>
        <v>5.6625980819528854E-2</v>
      </c>
      <c r="K151">
        <f t="shared" ca="1" si="24"/>
        <v>0.71573385310721482</v>
      </c>
      <c r="L151">
        <f t="shared" ca="1" si="26"/>
        <v>5.3510913373050393</v>
      </c>
    </row>
    <row r="152" spans="1:12" x14ac:dyDescent="0.2">
      <c r="A152">
        <v>150</v>
      </c>
      <c r="B152">
        <f ca="1">Computations!$B$2+A152*$P$2/$P$1</f>
        <v>0.15375</v>
      </c>
      <c r="C152">
        <f ca="1">LOOKUP(B152,Computations!$B$2:$B$100,Computations!$A$2:A$100)</f>
        <v>11</v>
      </c>
      <c r="D152">
        <f t="shared" ca="1" si="25"/>
        <v>0.15000000000000002</v>
      </c>
      <c r="E152">
        <f t="shared" ca="1" si="18"/>
        <v>0.18</v>
      </c>
      <c r="F152">
        <f t="shared" ca="1" si="19"/>
        <v>0.12499999999999931</v>
      </c>
      <c r="G152">
        <f t="shared" ca="1" si="20"/>
        <v>0.7</v>
      </c>
      <c r="H152">
        <f t="shared" ca="1" si="21"/>
        <v>0.17419354838709661</v>
      </c>
      <c r="I152">
        <f t="shared" ca="1" si="22"/>
        <v>-8.081952920662544E-2</v>
      </c>
      <c r="J152">
        <f t="shared" ca="1" si="23"/>
        <v>5.6625980819528854E-2</v>
      </c>
      <c r="K152">
        <f t="shared" ca="1" si="24"/>
        <v>0.72062198602332161</v>
      </c>
      <c r="L152">
        <f t="shared" ca="1" si="26"/>
        <v>5.2232280980577732</v>
      </c>
    </row>
    <row r="153" spans="1:12" x14ac:dyDescent="0.2">
      <c r="A153">
        <v>151</v>
      </c>
      <c r="B153">
        <f ca="1">Computations!$B$2+A153*$P$2/$P$1</f>
        <v>0.15467500000000001</v>
      </c>
      <c r="C153">
        <f ca="1">LOOKUP(B153,Computations!$B$2:$B$100,Computations!$A$2:A$100)</f>
        <v>11</v>
      </c>
      <c r="D153">
        <f t="shared" ca="1" si="25"/>
        <v>0.15000000000000002</v>
      </c>
      <c r="E153">
        <f t="shared" ca="1" si="18"/>
        <v>0.18</v>
      </c>
      <c r="F153">
        <f t="shared" ca="1" si="19"/>
        <v>0.15583333333333296</v>
      </c>
      <c r="G153">
        <f t="shared" ca="1" si="20"/>
        <v>0.7</v>
      </c>
      <c r="H153">
        <f t="shared" ca="1" si="21"/>
        <v>0.17419354838709661</v>
      </c>
      <c r="I153">
        <f t="shared" ca="1" si="22"/>
        <v>-8.081952920662544E-2</v>
      </c>
      <c r="J153">
        <f t="shared" ca="1" si="23"/>
        <v>5.6625980819528854E-2</v>
      </c>
      <c r="K153">
        <f t="shared" ca="1" si="24"/>
        <v>0.7253968250886218</v>
      </c>
      <c r="L153">
        <f t="shared" ca="1" si="26"/>
        <v>5.1061316598855928</v>
      </c>
    </row>
    <row r="154" spans="1:12" x14ac:dyDescent="0.2">
      <c r="A154">
        <v>152</v>
      </c>
      <c r="B154">
        <f ca="1">Computations!$B$2+A154*$P$2/$P$1</f>
        <v>0.15560000000000002</v>
      </c>
      <c r="C154">
        <f ca="1">LOOKUP(B154,Computations!$B$2:$B$100,Computations!$A$2:A$100)</f>
        <v>11</v>
      </c>
      <c r="D154">
        <f t="shared" ca="1" si="25"/>
        <v>0.15000000000000002</v>
      </c>
      <c r="E154">
        <f t="shared" ca="1" si="18"/>
        <v>0.18</v>
      </c>
      <c r="F154">
        <f t="shared" ca="1" si="19"/>
        <v>0.18666666666666665</v>
      </c>
      <c r="G154">
        <f t="shared" ca="1" si="20"/>
        <v>0.7</v>
      </c>
      <c r="H154">
        <f t="shared" ca="1" si="21"/>
        <v>0.17419354838709661</v>
      </c>
      <c r="I154">
        <f t="shared" ca="1" si="22"/>
        <v>-8.081952920662544E-2</v>
      </c>
      <c r="J154">
        <f t="shared" ca="1" si="23"/>
        <v>5.6625980819528854E-2</v>
      </c>
      <c r="K154">
        <f t="shared" ca="1" si="24"/>
        <v>0.73006832959411005</v>
      </c>
      <c r="L154">
        <f t="shared" ca="1" si="26"/>
        <v>4.9998020227889182</v>
      </c>
    </row>
    <row r="155" spans="1:12" x14ac:dyDescent="0.2">
      <c r="A155">
        <v>153</v>
      </c>
      <c r="B155">
        <f ca="1">Computations!$B$2+A155*$P$2/$P$1</f>
        <v>0.15652500000000003</v>
      </c>
      <c r="C155">
        <f ca="1">LOOKUP(B155,Computations!$B$2:$B$100,Computations!$A$2:A$100)</f>
        <v>11</v>
      </c>
      <c r="D155">
        <f t="shared" ca="1" si="25"/>
        <v>0.15000000000000002</v>
      </c>
      <c r="E155">
        <f t="shared" ca="1" si="18"/>
        <v>0.18</v>
      </c>
      <c r="F155">
        <f t="shared" ca="1" si="19"/>
        <v>0.2175000000000003</v>
      </c>
      <c r="G155">
        <f t="shared" ca="1" si="20"/>
        <v>0.7</v>
      </c>
      <c r="H155">
        <f t="shared" ca="1" si="21"/>
        <v>0.17419354838709661</v>
      </c>
      <c r="I155">
        <f t="shared" ca="1" si="22"/>
        <v>-8.081952920662544E-2</v>
      </c>
      <c r="J155">
        <f t="shared" ca="1" si="23"/>
        <v>5.6625980819528854E-2</v>
      </c>
      <c r="K155">
        <f t="shared" ca="1" si="24"/>
        <v>0.73464645883078139</v>
      </c>
      <c r="L155">
        <f t="shared" ca="1" si="26"/>
        <v>4.9042391867674775</v>
      </c>
    </row>
    <row r="156" spans="1:12" x14ac:dyDescent="0.2">
      <c r="A156">
        <v>154</v>
      </c>
      <c r="B156">
        <f ca="1">Computations!$B$2+A156*$P$2/$P$1</f>
        <v>0.15744999999999998</v>
      </c>
      <c r="C156">
        <f ca="1">LOOKUP(B156,Computations!$B$2:$B$100,Computations!$A$2:A$100)</f>
        <v>11</v>
      </c>
      <c r="D156">
        <f t="shared" ca="1" si="25"/>
        <v>0.15000000000000002</v>
      </c>
      <c r="E156">
        <f t="shared" ca="1" si="18"/>
        <v>0.18</v>
      </c>
      <c r="F156">
        <f t="shared" ca="1" si="19"/>
        <v>0.24833333333333213</v>
      </c>
      <c r="G156">
        <f t="shared" ca="1" si="20"/>
        <v>0.7</v>
      </c>
      <c r="H156">
        <f t="shared" ca="1" si="21"/>
        <v>0.17419354838709661</v>
      </c>
      <c r="I156">
        <f t="shared" ca="1" si="22"/>
        <v>-8.081952920662544E-2</v>
      </c>
      <c r="J156">
        <f t="shared" ca="1" si="23"/>
        <v>5.6625980819528854E-2</v>
      </c>
      <c r="K156">
        <f t="shared" ca="1" si="24"/>
        <v>0.73914117208962971</v>
      </c>
      <c r="L156">
        <f t="shared" ca="1" si="26"/>
        <v>4.8194431518212122</v>
      </c>
    </row>
    <row r="157" spans="1:12" x14ac:dyDescent="0.2">
      <c r="A157">
        <v>155</v>
      </c>
      <c r="B157">
        <f ca="1">Computations!$B$2+A157*$P$2/$P$1</f>
        <v>0.15837499999999999</v>
      </c>
      <c r="C157">
        <f ca="1">LOOKUP(B157,Computations!$B$2:$B$100,Computations!$A$2:A$100)</f>
        <v>11</v>
      </c>
      <c r="D157">
        <f t="shared" ca="1" si="25"/>
        <v>0.15000000000000002</v>
      </c>
      <c r="E157">
        <f t="shared" ca="1" si="18"/>
        <v>0.18</v>
      </c>
      <c r="F157">
        <f t="shared" ca="1" si="19"/>
        <v>0.27916666666666579</v>
      </c>
      <c r="G157">
        <f t="shared" ca="1" si="20"/>
        <v>0.7</v>
      </c>
      <c r="H157">
        <f t="shared" ca="1" si="21"/>
        <v>0.17419354838709661</v>
      </c>
      <c r="I157">
        <f t="shared" ca="1" si="22"/>
        <v>-8.081952920662544E-2</v>
      </c>
      <c r="J157">
        <f t="shared" ca="1" si="23"/>
        <v>5.6625980819528854E-2</v>
      </c>
      <c r="K157">
        <f t="shared" ca="1" si="24"/>
        <v>0.74356242866165045</v>
      </c>
      <c r="L157">
        <f t="shared" ca="1" si="26"/>
        <v>4.7454139179502519</v>
      </c>
    </row>
    <row r="158" spans="1:12" x14ac:dyDescent="0.2">
      <c r="A158">
        <v>156</v>
      </c>
      <c r="B158">
        <f ca="1">Computations!$B$2+A158*$P$2/$P$1</f>
        <v>0.1593</v>
      </c>
      <c r="C158">
        <f ca="1">LOOKUP(B158,Computations!$B$2:$B$100,Computations!$A$2:A$100)</f>
        <v>11</v>
      </c>
      <c r="D158">
        <f t="shared" ca="1" si="25"/>
        <v>0.15000000000000002</v>
      </c>
      <c r="E158">
        <f t="shared" ca="1" si="18"/>
        <v>0.18</v>
      </c>
      <c r="F158">
        <f t="shared" ca="1" si="19"/>
        <v>0.30999999999999944</v>
      </c>
      <c r="G158">
        <f t="shared" ca="1" si="20"/>
        <v>0.7</v>
      </c>
      <c r="H158">
        <f t="shared" ca="1" si="21"/>
        <v>0.17419354838709661</v>
      </c>
      <c r="I158">
        <f t="shared" ca="1" si="22"/>
        <v>-8.081952920662544E-2</v>
      </c>
      <c r="J158">
        <f t="shared" ca="1" si="23"/>
        <v>5.6625980819528854E-2</v>
      </c>
      <c r="K158">
        <f t="shared" ca="1" si="24"/>
        <v>0.74792018783783776</v>
      </c>
      <c r="L158">
        <f t="shared" ca="1" si="26"/>
        <v>4.6821514851544608</v>
      </c>
    </row>
    <row r="159" spans="1:12" x14ac:dyDescent="0.2">
      <c r="A159">
        <v>157</v>
      </c>
      <c r="B159">
        <f ca="1">Computations!$B$2+A159*$P$2/$P$1</f>
        <v>0.16022500000000001</v>
      </c>
      <c r="C159">
        <f ca="1">LOOKUP(B159,Computations!$B$2:$B$100,Computations!$A$2:A$100)</f>
        <v>11</v>
      </c>
      <c r="D159">
        <f t="shared" ca="1" si="25"/>
        <v>0.15000000000000002</v>
      </c>
      <c r="E159">
        <f t="shared" ref="E159:E202" ca="1" si="27">INDIRECT("Computations!B"&amp;(C159+1))</f>
        <v>0.18</v>
      </c>
      <c r="F159">
        <f t="shared" ref="F159:F202" ca="1" si="28">(B159-D159)/(E159-D159)</f>
        <v>0.34083333333333315</v>
      </c>
      <c r="G159">
        <f t="shared" ref="G159:G202" ca="1" si="29">INDIRECT("Computations!C"&amp;C159)</f>
        <v>0.7</v>
      </c>
      <c r="H159">
        <f t="shared" ref="H159:H202" ca="1" si="30">INDIRECT("Computations!Q"&amp;C159)</f>
        <v>0.17419354838709661</v>
      </c>
      <c r="I159">
        <f t="shared" ref="I159:I202" ca="1" si="31">INDIRECT("Computations!R"&amp;C159)</f>
        <v>-8.081952920662544E-2</v>
      </c>
      <c r="J159">
        <f t="shared" ref="J159:J202" ca="1" si="32">INDIRECT("Computations!S"&amp;C159)</f>
        <v>5.6625980819528854E-2</v>
      </c>
      <c r="K159">
        <f t="shared" ref="K159:K202" ca="1" si="33">G159+H159*F159+I159*F159*F159+J159*F159*F159*F159</f>
        <v>0.75222440890918629</v>
      </c>
      <c r="L159">
        <f t="shared" ca="1" si="26"/>
        <v>4.6296558534340564</v>
      </c>
    </row>
    <row r="160" spans="1:12" x14ac:dyDescent="0.2">
      <c r="A160">
        <v>158</v>
      </c>
      <c r="B160">
        <f ca="1">Computations!$B$2+A160*$P$2/$P$1</f>
        <v>0.16115000000000002</v>
      </c>
      <c r="C160">
        <f ca="1">LOOKUP(B160,Computations!$B$2:$B$100,Computations!$A$2:A$100)</f>
        <v>11</v>
      </c>
      <c r="D160">
        <f t="shared" ca="1" si="25"/>
        <v>0.15000000000000002</v>
      </c>
      <c r="E160">
        <f t="shared" ca="1" si="27"/>
        <v>0.18</v>
      </c>
      <c r="F160">
        <f t="shared" ca="1" si="28"/>
        <v>0.37166666666666681</v>
      </c>
      <c r="G160">
        <f t="shared" ca="1" si="29"/>
        <v>0.7</v>
      </c>
      <c r="H160">
        <f t="shared" ca="1" si="30"/>
        <v>0.17419354838709661</v>
      </c>
      <c r="I160">
        <f t="shared" ca="1" si="31"/>
        <v>-8.081952920662544E-2</v>
      </c>
      <c r="J160">
        <f t="shared" ca="1" si="32"/>
        <v>5.6625980819528854E-2</v>
      </c>
      <c r="K160">
        <f t="shared" ca="1" si="33"/>
        <v>0.75648505116669085</v>
      </c>
      <c r="L160">
        <f t="shared" ca="1" si="26"/>
        <v>4.5879270227889357</v>
      </c>
    </row>
    <row r="161" spans="1:12" x14ac:dyDescent="0.2">
      <c r="A161">
        <v>159</v>
      </c>
      <c r="B161">
        <f ca="1">Computations!$B$2+A161*$P$2/$P$1</f>
        <v>0.16207499999999997</v>
      </c>
      <c r="C161">
        <f ca="1">LOOKUP(B161,Computations!$B$2:$B$100,Computations!$A$2:A$100)</f>
        <v>11</v>
      </c>
      <c r="D161">
        <f t="shared" ca="1" si="25"/>
        <v>0.15000000000000002</v>
      </c>
      <c r="E161">
        <f t="shared" ca="1" si="27"/>
        <v>0.18</v>
      </c>
      <c r="F161">
        <f t="shared" ca="1" si="28"/>
        <v>0.40249999999999864</v>
      </c>
      <c r="G161">
        <f t="shared" ca="1" si="29"/>
        <v>0.7</v>
      </c>
      <c r="H161">
        <f t="shared" ca="1" si="30"/>
        <v>0.17419354838709661</v>
      </c>
      <c r="I161">
        <f t="shared" ca="1" si="31"/>
        <v>-8.081952920662544E-2</v>
      </c>
      <c r="J161">
        <f t="shared" ca="1" si="32"/>
        <v>5.6625980819528854E-2</v>
      </c>
      <c r="K161">
        <f t="shared" ca="1" si="33"/>
        <v>0.76071207390134565</v>
      </c>
      <c r="L161">
        <f t="shared" ca="1" si="26"/>
        <v>4.5569649932190455</v>
      </c>
    </row>
    <row r="162" spans="1:12" x14ac:dyDescent="0.2">
      <c r="A162">
        <v>160</v>
      </c>
      <c r="B162">
        <f ca="1">Computations!$B$2+A162*$P$2/$P$1</f>
        <v>0.16300000000000003</v>
      </c>
      <c r="C162">
        <f ca="1">LOOKUP(B162,Computations!$B$2:$B$100,Computations!$A$2:A$100)</f>
        <v>11</v>
      </c>
      <c r="D162">
        <f t="shared" ca="1" si="25"/>
        <v>0.15000000000000002</v>
      </c>
      <c r="E162">
        <f t="shared" ca="1" si="27"/>
        <v>0.18</v>
      </c>
      <c r="F162">
        <f t="shared" ca="1" si="28"/>
        <v>0.43333333333333413</v>
      </c>
      <c r="G162">
        <f t="shared" ca="1" si="29"/>
        <v>0.7</v>
      </c>
      <c r="H162">
        <f t="shared" ca="1" si="30"/>
        <v>0.17419354838709661</v>
      </c>
      <c r="I162">
        <f t="shared" ca="1" si="31"/>
        <v>-8.081952920662544E-2</v>
      </c>
      <c r="J162">
        <f t="shared" ca="1" si="32"/>
        <v>5.6625980819528854E-2</v>
      </c>
      <c r="K162">
        <f t="shared" ca="1" si="33"/>
        <v>0.76491543640414617</v>
      </c>
      <c r="L162">
        <f t="shared" ca="1" si="26"/>
        <v>4.5367697647243794</v>
      </c>
    </row>
    <row r="163" spans="1:12" x14ac:dyDescent="0.2">
      <c r="A163">
        <v>161</v>
      </c>
      <c r="B163">
        <f ca="1">Computations!$B$2+A163*$P$2/$P$1</f>
        <v>0.16392499999999999</v>
      </c>
      <c r="C163">
        <f ca="1">LOOKUP(B163,Computations!$B$2:$B$100,Computations!$A$2:A$100)</f>
        <v>11</v>
      </c>
      <c r="D163">
        <f t="shared" ca="1" si="25"/>
        <v>0.15000000000000002</v>
      </c>
      <c r="E163">
        <f t="shared" ca="1" si="27"/>
        <v>0.18</v>
      </c>
      <c r="F163">
        <f t="shared" ca="1" si="28"/>
        <v>0.46416666666666595</v>
      </c>
      <c r="G163">
        <f t="shared" ca="1" si="29"/>
        <v>0.7</v>
      </c>
      <c r="H163">
        <f t="shared" ca="1" si="30"/>
        <v>0.17419354838709661</v>
      </c>
      <c r="I163">
        <f t="shared" ca="1" si="31"/>
        <v>-8.081952920662544E-2</v>
      </c>
      <c r="J163">
        <f t="shared" ca="1" si="32"/>
        <v>5.6625980819528854E-2</v>
      </c>
      <c r="K163">
        <f t="shared" ca="1" si="33"/>
        <v>0.76910509796608584</v>
      </c>
      <c r="L163">
        <f t="shared" ca="1" si="26"/>
        <v>4.5273413373050539</v>
      </c>
    </row>
    <row r="164" spans="1:12" x14ac:dyDescent="0.2">
      <c r="A164">
        <v>162</v>
      </c>
      <c r="B164">
        <f ca="1">Computations!$B$2+A164*$P$2/$P$1</f>
        <v>0.16485</v>
      </c>
      <c r="C164">
        <f ca="1">LOOKUP(B164,Computations!$B$2:$B$100,Computations!$A$2:A$100)</f>
        <v>11</v>
      </c>
      <c r="D164">
        <f t="shared" ca="1" si="25"/>
        <v>0.15000000000000002</v>
      </c>
      <c r="E164">
        <f t="shared" ca="1" si="27"/>
        <v>0.18</v>
      </c>
      <c r="F164">
        <f t="shared" ca="1" si="28"/>
        <v>0.49499999999999961</v>
      </c>
      <c r="G164">
        <f t="shared" ca="1" si="29"/>
        <v>0.7</v>
      </c>
      <c r="H164">
        <f t="shared" ca="1" si="30"/>
        <v>0.17419354838709661</v>
      </c>
      <c r="I164">
        <f t="shared" ca="1" si="31"/>
        <v>-8.081952920662544E-2</v>
      </c>
      <c r="J164">
        <f t="shared" ca="1" si="32"/>
        <v>5.6625980819528854E-2</v>
      </c>
      <c r="K164">
        <f t="shared" ca="1" si="33"/>
        <v>0.77329101787816035</v>
      </c>
      <c r="L164">
        <f t="shared" ca="1" si="26"/>
        <v>4.5286797109610237</v>
      </c>
    </row>
    <row r="165" spans="1:12" x14ac:dyDescent="0.2">
      <c r="A165">
        <v>163</v>
      </c>
      <c r="B165">
        <f ca="1">Computations!$B$2+A165*$P$2/$P$1</f>
        <v>0.16577500000000001</v>
      </c>
      <c r="C165">
        <f ca="1">LOOKUP(B165,Computations!$B$2:$B$100,Computations!$A$2:A$100)</f>
        <v>11</v>
      </c>
      <c r="D165">
        <f t="shared" ca="1" si="25"/>
        <v>0.15000000000000002</v>
      </c>
      <c r="E165">
        <f t="shared" ca="1" si="27"/>
        <v>0.18</v>
      </c>
      <c r="F165">
        <f t="shared" ca="1" si="28"/>
        <v>0.52583333333333326</v>
      </c>
      <c r="G165">
        <f t="shared" ca="1" si="29"/>
        <v>0.7</v>
      </c>
      <c r="H165">
        <f t="shared" ca="1" si="30"/>
        <v>0.17419354838709661</v>
      </c>
      <c r="I165">
        <f t="shared" ca="1" si="31"/>
        <v>-8.081952920662544E-2</v>
      </c>
      <c r="J165">
        <f t="shared" ca="1" si="32"/>
        <v>5.6625980819528854E-2</v>
      </c>
      <c r="K165">
        <f t="shared" ca="1" si="33"/>
        <v>0.77748315543136381</v>
      </c>
      <c r="L165">
        <f t="shared" ca="1" si="26"/>
        <v>4.5407848856921555</v>
      </c>
    </row>
    <row r="166" spans="1:12" x14ac:dyDescent="0.2">
      <c r="A166">
        <v>164</v>
      </c>
      <c r="B166">
        <f ca="1">Computations!$B$2+A166*$P$2/$P$1</f>
        <v>0.16670000000000001</v>
      </c>
      <c r="C166">
        <f ca="1">LOOKUP(B166,Computations!$B$2:$B$100,Computations!$A$2:A$100)</f>
        <v>11</v>
      </c>
      <c r="D166">
        <f t="shared" ca="1" si="25"/>
        <v>0.15000000000000002</v>
      </c>
      <c r="E166">
        <f t="shared" ca="1" si="27"/>
        <v>0.18</v>
      </c>
      <c r="F166">
        <f t="shared" ca="1" si="28"/>
        <v>0.55666666666666698</v>
      </c>
      <c r="G166">
        <f t="shared" ca="1" si="29"/>
        <v>0.7</v>
      </c>
      <c r="H166">
        <f t="shared" ca="1" si="30"/>
        <v>0.17419354838709661</v>
      </c>
      <c r="I166">
        <f t="shared" ca="1" si="31"/>
        <v>-8.081952920662544E-2</v>
      </c>
      <c r="J166">
        <f t="shared" ca="1" si="32"/>
        <v>5.6625980819528854E-2</v>
      </c>
      <c r="K166">
        <f t="shared" ca="1" si="33"/>
        <v>0.78169146991669092</v>
      </c>
      <c r="L166">
        <f t="shared" ca="1" si="26"/>
        <v>4.5636568614986297</v>
      </c>
    </row>
    <row r="167" spans="1:12" x14ac:dyDescent="0.2">
      <c r="A167">
        <v>165</v>
      </c>
      <c r="B167">
        <f ca="1">Computations!$B$2+A167*$P$2/$P$1</f>
        <v>0.16762499999999997</v>
      </c>
      <c r="C167">
        <f ca="1">LOOKUP(B167,Computations!$B$2:$B$100,Computations!$A$2:A$100)</f>
        <v>11</v>
      </c>
      <c r="D167">
        <f t="shared" ca="1" si="25"/>
        <v>0.15000000000000002</v>
      </c>
      <c r="E167">
        <f t="shared" ca="1" si="27"/>
        <v>0.18</v>
      </c>
      <c r="F167">
        <f t="shared" ca="1" si="28"/>
        <v>0.5874999999999988</v>
      </c>
      <c r="G167">
        <f t="shared" ca="1" si="29"/>
        <v>0.7</v>
      </c>
      <c r="H167">
        <f t="shared" ca="1" si="30"/>
        <v>0.17419354838709661</v>
      </c>
      <c r="I167">
        <f t="shared" ca="1" si="31"/>
        <v>-8.081952920662544E-2</v>
      </c>
      <c r="J167">
        <f t="shared" ca="1" si="32"/>
        <v>5.6625980819528854E-2</v>
      </c>
      <c r="K167">
        <f t="shared" ca="1" si="33"/>
        <v>0.78592592062513611</v>
      </c>
      <c r="L167">
        <f t="shared" ca="1" si="26"/>
        <v>4.5972956383802934</v>
      </c>
    </row>
    <row r="168" spans="1:12" x14ac:dyDescent="0.2">
      <c r="A168">
        <v>166</v>
      </c>
      <c r="B168">
        <f ca="1">Computations!$B$2+A168*$P$2/$P$1</f>
        <v>0.16854999999999998</v>
      </c>
      <c r="C168">
        <f ca="1">LOOKUP(B168,Computations!$B$2:$B$100,Computations!$A$2:A$100)</f>
        <v>11</v>
      </c>
      <c r="D168">
        <f t="shared" ca="1" si="25"/>
        <v>0.15000000000000002</v>
      </c>
      <c r="E168">
        <f t="shared" ca="1" si="27"/>
        <v>0.18</v>
      </c>
      <c r="F168">
        <f t="shared" ca="1" si="28"/>
        <v>0.6183333333333324</v>
      </c>
      <c r="G168">
        <f t="shared" ca="1" si="29"/>
        <v>0.7</v>
      </c>
      <c r="H168">
        <f t="shared" ca="1" si="30"/>
        <v>0.17419354838709661</v>
      </c>
      <c r="I168">
        <f t="shared" ca="1" si="31"/>
        <v>-8.081952920662544E-2</v>
      </c>
      <c r="J168">
        <f t="shared" ca="1" si="32"/>
        <v>5.6625980819528854E-2</v>
      </c>
      <c r="K168">
        <f t="shared" ca="1" si="33"/>
        <v>0.79019646684769429</v>
      </c>
      <c r="L168">
        <f t="shared" ca="1" si="26"/>
        <v>4.6417012163372648</v>
      </c>
    </row>
    <row r="169" spans="1:12" x14ac:dyDescent="0.2">
      <c r="A169">
        <v>167</v>
      </c>
      <c r="B169">
        <f ca="1">Computations!$B$2+A169*$P$2/$P$1</f>
        <v>0.16947499999999999</v>
      </c>
      <c r="C169">
        <f ca="1">LOOKUP(B169,Computations!$B$2:$B$100,Computations!$A$2:A$100)</f>
        <v>11</v>
      </c>
      <c r="D169">
        <f t="shared" ca="1" si="25"/>
        <v>0.15000000000000002</v>
      </c>
      <c r="E169">
        <f t="shared" ca="1" si="27"/>
        <v>0.18</v>
      </c>
      <c r="F169">
        <f t="shared" ca="1" si="28"/>
        <v>0.64916666666666611</v>
      </c>
      <c r="G169">
        <f t="shared" ca="1" si="29"/>
        <v>0.7</v>
      </c>
      <c r="H169">
        <f t="shared" ca="1" si="30"/>
        <v>0.17419354838709661</v>
      </c>
      <c r="I169">
        <f t="shared" ca="1" si="31"/>
        <v>-8.081952920662544E-2</v>
      </c>
      <c r="J169">
        <f t="shared" ca="1" si="32"/>
        <v>5.6625980819528854E-2</v>
      </c>
      <c r="K169">
        <f t="shared" ca="1" si="33"/>
        <v>0.79451306787536013</v>
      </c>
      <c r="L169">
        <f t="shared" ca="1" si="26"/>
        <v>4.6968735953695804</v>
      </c>
    </row>
    <row r="170" spans="1:12" x14ac:dyDescent="0.2">
      <c r="A170">
        <v>168</v>
      </c>
      <c r="B170">
        <f ca="1">Computations!$B$2+A170*$P$2/$P$1</f>
        <v>0.1704</v>
      </c>
      <c r="C170">
        <f ca="1">LOOKUP(B170,Computations!$B$2:$B$100,Computations!$A$2:A$100)</f>
        <v>11</v>
      </c>
      <c r="D170">
        <f t="shared" ca="1" si="25"/>
        <v>0.15000000000000002</v>
      </c>
      <c r="E170">
        <f t="shared" ca="1" si="27"/>
        <v>0.18</v>
      </c>
      <c r="F170">
        <f t="shared" ca="1" si="28"/>
        <v>0.67999999999999983</v>
      </c>
      <c r="G170">
        <f t="shared" ca="1" si="29"/>
        <v>0.7</v>
      </c>
      <c r="H170">
        <f t="shared" ca="1" si="30"/>
        <v>0.17419354838709661</v>
      </c>
      <c r="I170">
        <f t="shared" ca="1" si="31"/>
        <v>-8.081952920662544E-2</v>
      </c>
      <c r="J170">
        <f t="shared" ca="1" si="32"/>
        <v>5.6625980819528854E-2</v>
      </c>
      <c r="K170">
        <f t="shared" ca="1" si="33"/>
        <v>0.7988856829991281</v>
      </c>
      <c r="L170">
        <f t="shared" ca="1" si="26"/>
        <v>4.7628127754770411</v>
      </c>
    </row>
    <row r="171" spans="1:12" x14ac:dyDescent="0.2">
      <c r="A171">
        <v>169</v>
      </c>
      <c r="B171">
        <f ca="1">Computations!$B$2+A171*$P$2/$P$1</f>
        <v>0.17132500000000001</v>
      </c>
      <c r="C171">
        <f ca="1">LOOKUP(B171,Computations!$B$2:$B$100,Computations!$A$2:A$100)</f>
        <v>11</v>
      </c>
      <c r="D171">
        <f t="shared" ca="1" si="25"/>
        <v>0.15000000000000002</v>
      </c>
      <c r="E171">
        <f t="shared" ca="1" si="27"/>
        <v>0.18</v>
      </c>
      <c r="F171">
        <f t="shared" ca="1" si="28"/>
        <v>0.71083333333333343</v>
      </c>
      <c r="G171">
        <f t="shared" ca="1" si="29"/>
        <v>0.7</v>
      </c>
      <c r="H171">
        <f t="shared" ca="1" si="30"/>
        <v>0.17419354838709661</v>
      </c>
      <c r="I171">
        <f t="shared" ca="1" si="31"/>
        <v>-8.081952920662544E-2</v>
      </c>
      <c r="J171">
        <f t="shared" ca="1" si="32"/>
        <v>5.6625980819528854E-2</v>
      </c>
      <c r="K171">
        <f t="shared" ca="1" si="33"/>
        <v>0.80332427150999275</v>
      </c>
      <c r="L171">
        <f t="shared" ca="1" si="26"/>
        <v>4.8395187566598885</v>
      </c>
    </row>
    <row r="172" spans="1:12" x14ac:dyDescent="0.2">
      <c r="A172">
        <v>170</v>
      </c>
      <c r="B172">
        <f ca="1">Computations!$B$2+A172*$P$2/$P$1</f>
        <v>0.17225000000000001</v>
      </c>
      <c r="C172">
        <f ca="1">LOOKUP(B172,Computations!$B$2:$B$100,Computations!$A$2:A$100)</f>
        <v>11</v>
      </c>
      <c r="D172">
        <f t="shared" ca="1" si="25"/>
        <v>0.15000000000000002</v>
      </c>
      <c r="E172">
        <f t="shared" ca="1" si="27"/>
        <v>0.18</v>
      </c>
      <c r="F172">
        <f t="shared" ca="1" si="28"/>
        <v>0.74166666666666714</v>
      </c>
      <c r="G172">
        <f t="shared" ca="1" si="29"/>
        <v>0.7</v>
      </c>
      <c r="H172">
        <f t="shared" ca="1" si="30"/>
        <v>0.17419354838709661</v>
      </c>
      <c r="I172">
        <f t="shared" ca="1" si="31"/>
        <v>-8.081952920662544E-2</v>
      </c>
      <c r="J172">
        <f t="shared" ca="1" si="32"/>
        <v>5.6625980819528854E-2</v>
      </c>
      <c r="K172">
        <f t="shared" ca="1" si="33"/>
        <v>0.80783879269894898</v>
      </c>
      <c r="L172">
        <f t="shared" ca="1" si="26"/>
        <v>4.9269915389180294</v>
      </c>
    </row>
    <row r="173" spans="1:12" x14ac:dyDescent="0.2">
      <c r="A173">
        <v>171</v>
      </c>
      <c r="B173">
        <f ca="1">Computations!$B$2+A173*$P$2/$P$1</f>
        <v>0.17317499999999997</v>
      </c>
      <c r="C173">
        <f ca="1">LOOKUP(B173,Computations!$B$2:$B$100,Computations!$A$2:A$100)</f>
        <v>11</v>
      </c>
      <c r="D173">
        <f t="shared" ca="1" si="25"/>
        <v>0.15000000000000002</v>
      </c>
      <c r="E173">
        <f t="shared" ca="1" si="27"/>
        <v>0.18</v>
      </c>
      <c r="F173">
        <f t="shared" ca="1" si="28"/>
        <v>0.77249999999999897</v>
      </c>
      <c r="G173">
        <f t="shared" ca="1" si="29"/>
        <v>0.7</v>
      </c>
      <c r="H173">
        <f t="shared" ca="1" si="30"/>
        <v>0.17419354838709661</v>
      </c>
      <c r="I173">
        <f t="shared" ca="1" si="31"/>
        <v>-8.081952920662544E-2</v>
      </c>
      <c r="J173">
        <f t="shared" ca="1" si="32"/>
        <v>5.6625980819528854E-2</v>
      </c>
      <c r="K173">
        <f t="shared" ca="1" si="33"/>
        <v>0.81243920585699092</v>
      </c>
      <c r="L173">
        <f t="shared" ca="1" si="26"/>
        <v>5.0252311222512915</v>
      </c>
    </row>
    <row r="174" spans="1:12" x14ac:dyDescent="0.2">
      <c r="A174">
        <v>172</v>
      </c>
      <c r="B174">
        <f ca="1">Computations!$B$2+A174*$P$2/$P$1</f>
        <v>0.17409999999999998</v>
      </c>
      <c r="C174">
        <f ca="1">LOOKUP(B174,Computations!$B$2:$B$100,Computations!$A$2:A$100)</f>
        <v>11</v>
      </c>
      <c r="D174">
        <f t="shared" ca="1" si="25"/>
        <v>0.15000000000000002</v>
      </c>
      <c r="E174">
        <f t="shared" ca="1" si="27"/>
        <v>0.18</v>
      </c>
      <c r="F174">
        <f t="shared" ca="1" si="28"/>
        <v>0.80333333333333257</v>
      </c>
      <c r="G174">
        <f t="shared" ca="1" si="29"/>
        <v>0.7</v>
      </c>
      <c r="H174">
        <f t="shared" ca="1" si="30"/>
        <v>0.17419354838709661</v>
      </c>
      <c r="I174">
        <f t="shared" ca="1" si="31"/>
        <v>-8.081952920662544E-2</v>
      </c>
      <c r="J174">
        <f t="shared" ca="1" si="32"/>
        <v>5.6625980819528854E-2</v>
      </c>
      <c r="K174">
        <f t="shared" ca="1" si="33"/>
        <v>0.81713547027511368</v>
      </c>
      <c r="L174">
        <f t="shared" ca="1" si="26"/>
        <v>5.1342375066598462</v>
      </c>
    </row>
    <row r="175" spans="1:12" x14ac:dyDescent="0.2">
      <c r="A175">
        <v>173</v>
      </c>
      <c r="B175">
        <f ca="1">Computations!$B$2+A175*$P$2/$P$1</f>
        <v>0.17502499999999999</v>
      </c>
      <c r="C175">
        <f ca="1">LOOKUP(B175,Computations!$B$2:$B$100,Computations!$A$2:A$100)</f>
        <v>11</v>
      </c>
      <c r="D175">
        <f t="shared" ca="1" si="25"/>
        <v>0.15000000000000002</v>
      </c>
      <c r="E175">
        <f t="shared" ca="1" si="27"/>
        <v>0.18</v>
      </c>
      <c r="F175">
        <f t="shared" ca="1" si="28"/>
        <v>0.83416666666666628</v>
      </c>
      <c r="G175">
        <f t="shared" ca="1" si="29"/>
        <v>0.7</v>
      </c>
      <c r="H175">
        <f t="shared" ca="1" si="30"/>
        <v>0.17419354838709661</v>
      </c>
      <c r="I175">
        <f t="shared" ca="1" si="31"/>
        <v>-8.081952920662544E-2</v>
      </c>
      <c r="J175">
        <f t="shared" ca="1" si="32"/>
        <v>5.6625980819528854E-2</v>
      </c>
      <c r="K175">
        <f t="shared" ca="1" si="33"/>
        <v>0.82193754524431173</v>
      </c>
      <c r="L175">
        <f t="shared" ca="1" si="26"/>
        <v>5.2540106921437566</v>
      </c>
    </row>
    <row r="176" spans="1:12" x14ac:dyDescent="0.2">
      <c r="A176">
        <v>174</v>
      </c>
      <c r="B176">
        <f ca="1">Computations!$B$2+A176*$P$2/$P$1</f>
        <v>0.17595</v>
      </c>
      <c r="C176">
        <f ca="1">LOOKUP(B176,Computations!$B$2:$B$100,Computations!$A$2:A$100)</f>
        <v>11</v>
      </c>
      <c r="D176">
        <f t="shared" ca="1" si="25"/>
        <v>0.15000000000000002</v>
      </c>
      <c r="E176">
        <f t="shared" ca="1" si="27"/>
        <v>0.18</v>
      </c>
      <c r="F176">
        <f t="shared" ca="1" si="28"/>
        <v>0.86499999999999988</v>
      </c>
      <c r="G176">
        <f t="shared" ca="1" si="29"/>
        <v>0.7</v>
      </c>
      <c r="H176">
        <f t="shared" ca="1" si="30"/>
        <v>0.17419354838709661</v>
      </c>
      <c r="I176">
        <f t="shared" ca="1" si="31"/>
        <v>-8.081952920662544E-2</v>
      </c>
      <c r="J176">
        <f t="shared" ca="1" si="32"/>
        <v>5.6625980819528854E-2</v>
      </c>
      <c r="K176">
        <f t="shared" ca="1" si="33"/>
        <v>0.82685539005557973</v>
      </c>
      <c r="L176">
        <f t="shared" ca="1" si="26"/>
        <v>5.3845506787029942</v>
      </c>
    </row>
    <row r="177" spans="1:12" x14ac:dyDescent="0.2">
      <c r="A177">
        <v>175</v>
      </c>
      <c r="B177">
        <f ca="1">Computations!$B$2+A177*$P$2/$P$1</f>
        <v>0.176875</v>
      </c>
      <c r="C177">
        <f ca="1">LOOKUP(B177,Computations!$B$2:$B$100,Computations!$A$2:A$100)</f>
        <v>11</v>
      </c>
      <c r="D177">
        <f t="shared" ca="1" si="25"/>
        <v>0.15000000000000002</v>
      </c>
      <c r="E177">
        <f t="shared" ca="1" si="27"/>
        <v>0.18</v>
      </c>
      <c r="F177">
        <f t="shared" ca="1" si="28"/>
        <v>0.89583333333333359</v>
      </c>
      <c r="G177">
        <f t="shared" ca="1" si="29"/>
        <v>0.7</v>
      </c>
      <c r="H177">
        <f t="shared" ca="1" si="30"/>
        <v>0.17419354838709661</v>
      </c>
      <c r="I177">
        <f t="shared" ca="1" si="31"/>
        <v>-8.081952920662544E-2</v>
      </c>
      <c r="J177">
        <f t="shared" ca="1" si="32"/>
        <v>5.6625980819528854E-2</v>
      </c>
      <c r="K177">
        <f t="shared" ca="1" si="33"/>
        <v>0.83189896399991237</v>
      </c>
      <c r="L177">
        <f t="shared" ca="1" si="26"/>
        <v>5.5258574663373166</v>
      </c>
    </row>
    <row r="178" spans="1:12" x14ac:dyDescent="0.2">
      <c r="A178">
        <v>176</v>
      </c>
      <c r="B178">
        <f ca="1">Computations!$B$2+A178*$P$2/$P$1</f>
        <v>0.17780000000000001</v>
      </c>
      <c r="C178">
        <f ca="1">LOOKUP(B178,Computations!$B$2:$B$100,Computations!$A$2:A$100)</f>
        <v>11</v>
      </c>
      <c r="D178">
        <f t="shared" ca="1" si="25"/>
        <v>0.15000000000000002</v>
      </c>
      <c r="E178">
        <f t="shared" ca="1" si="27"/>
        <v>0.18</v>
      </c>
      <c r="F178">
        <f t="shared" ca="1" si="28"/>
        <v>0.9266666666666673</v>
      </c>
      <c r="G178">
        <f t="shared" ca="1" si="29"/>
        <v>0.7</v>
      </c>
      <c r="H178">
        <f t="shared" ca="1" si="30"/>
        <v>0.17419354838709661</v>
      </c>
      <c r="I178">
        <f t="shared" ca="1" si="31"/>
        <v>-8.081952920662544E-2</v>
      </c>
      <c r="J178">
        <f t="shared" ca="1" si="32"/>
        <v>5.6625980819528854E-2</v>
      </c>
      <c r="K178">
        <f t="shared" ca="1" si="33"/>
        <v>0.83707822636830387</v>
      </c>
      <c r="L178">
        <f t="shared" ca="1" si="26"/>
        <v>5.677931055046896</v>
      </c>
    </row>
    <row r="179" spans="1:12" x14ac:dyDescent="0.2">
      <c r="A179">
        <v>177</v>
      </c>
      <c r="B179">
        <f ca="1">Computations!$B$2+A179*$P$2/$P$1</f>
        <v>0.17872499999999997</v>
      </c>
      <c r="C179">
        <f ca="1">LOOKUP(B179,Computations!$B$2:$B$100,Computations!$A$2:A$100)</f>
        <v>11</v>
      </c>
      <c r="D179">
        <f t="shared" ca="1" si="25"/>
        <v>0.15000000000000002</v>
      </c>
      <c r="E179">
        <f t="shared" ca="1" si="27"/>
        <v>0.18</v>
      </c>
      <c r="F179">
        <f t="shared" ca="1" si="28"/>
        <v>0.95749999999999913</v>
      </c>
      <c r="G179">
        <f t="shared" ca="1" si="29"/>
        <v>0.7</v>
      </c>
      <c r="H179">
        <f t="shared" ca="1" si="30"/>
        <v>0.17419354838709661</v>
      </c>
      <c r="I179">
        <f t="shared" ca="1" si="31"/>
        <v>-8.081952920662544E-2</v>
      </c>
      <c r="J179">
        <f t="shared" ca="1" si="32"/>
        <v>5.6625980819528854E-2</v>
      </c>
      <c r="K179">
        <f t="shared" ca="1" si="33"/>
        <v>0.84240313645174891</v>
      </c>
      <c r="L179">
        <f t="shared" ca="1" si="26"/>
        <v>5.8407714448319963</v>
      </c>
    </row>
    <row r="180" spans="1:12" x14ac:dyDescent="0.2">
      <c r="A180">
        <v>178</v>
      </c>
      <c r="B180">
        <f ca="1">Computations!$B$2+A180*$P$2/$P$1</f>
        <v>0.17964999999999998</v>
      </c>
      <c r="C180">
        <f ca="1">LOOKUP(B180,Computations!$B$2:$B$100,Computations!$A$2:A$100)</f>
        <v>11</v>
      </c>
      <c r="D180">
        <f t="shared" ca="1" si="25"/>
        <v>0.15000000000000002</v>
      </c>
      <c r="E180">
        <f t="shared" ca="1" si="27"/>
        <v>0.18</v>
      </c>
      <c r="F180">
        <f t="shared" ca="1" si="28"/>
        <v>0.98833333333333273</v>
      </c>
      <c r="G180">
        <f t="shared" ca="1" si="29"/>
        <v>0.7</v>
      </c>
      <c r="H180">
        <f t="shared" ca="1" si="30"/>
        <v>0.17419354838709661</v>
      </c>
      <c r="I180">
        <f t="shared" ca="1" si="31"/>
        <v>-8.081952920662544E-2</v>
      </c>
      <c r="J180">
        <f t="shared" ca="1" si="32"/>
        <v>5.6625980819528854E-2</v>
      </c>
      <c r="K180">
        <f t="shared" ca="1" si="33"/>
        <v>0.84788365354124284</v>
      </c>
      <c r="L180">
        <f t="shared" ca="1" si="26"/>
        <v>6.0127934192403227</v>
      </c>
    </row>
    <row r="181" spans="1:12" x14ac:dyDescent="0.2">
      <c r="A181">
        <v>179</v>
      </c>
      <c r="B181">
        <f ca="1">Computations!$B$2+A181*$P$2/$P$1</f>
        <v>0.18057499999999999</v>
      </c>
      <c r="C181">
        <f ca="1">LOOKUP(B181,Computations!$B$2:$B$100,Computations!$A$2:A$100)</f>
        <v>12</v>
      </c>
      <c r="D181">
        <f t="shared" ca="1" si="25"/>
        <v>0.18</v>
      </c>
      <c r="E181">
        <f t="shared" ca="1" si="27"/>
        <v>0.2</v>
      </c>
      <c r="F181">
        <f t="shared" ca="1" si="28"/>
        <v>2.8749999999999585E-2</v>
      </c>
      <c r="G181">
        <f t="shared" ca="1" si="29"/>
        <v>0.85</v>
      </c>
      <c r="H181">
        <f t="shared" ca="1" si="30"/>
        <v>0.12162162162162175</v>
      </c>
      <c r="I181">
        <f t="shared" ca="1" si="31"/>
        <v>3.6756756756756562E-2</v>
      </c>
      <c r="J181">
        <f t="shared" ca="1" si="32"/>
        <v>-8.3783783783782928E-3</v>
      </c>
      <c r="K181">
        <f t="shared" ca="1" si="33"/>
        <v>0.85352680427734362</v>
      </c>
      <c r="L181">
        <f t="shared" ca="1" si="26"/>
        <v>6.1844271398686486</v>
      </c>
    </row>
    <row r="182" spans="1:12" x14ac:dyDescent="0.2">
      <c r="A182">
        <v>180</v>
      </c>
      <c r="B182">
        <f ca="1">Computations!$B$2+A182*$P$2/$P$1</f>
        <v>0.18149999999999999</v>
      </c>
      <c r="C182">
        <f ca="1">LOOKUP(B182,Computations!$B$2:$B$100,Computations!$A$2:A$100)</f>
        <v>12</v>
      </c>
      <c r="D182">
        <f t="shared" ca="1" si="25"/>
        <v>0.18</v>
      </c>
      <c r="E182">
        <f t="shared" ca="1" si="27"/>
        <v>0.2</v>
      </c>
      <c r="F182">
        <f t="shared" ca="1" si="28"/>
        <v>7.4999999999999997E-2</v>
      </c>
      <c r="G182">
        <f t="shared" ca="1" si="29"/>
        <v>0.85</v>
      </c>
      <c r="H182">
        <f t="shared" ca="1" si="30"/>
        <v>0.12162162162162175</v>
      </c>
      <c r="I182">
        <f t="shared" ca="1" si="31"/>
        <v>3.6756756756756562E-2</v>
      </c>
      <c r="J182">
        <f t="shared" ca="1" si="32"/>
        <v>-8.3783783783782928E-3</v>
      </c>
      <c r="K182">
        <f t="shared" ca="1" si="33"/>
        <v>0.85932484374999996</v>
      </c>
      <c r="L182">
        <f t="shared" ca="1" si="26"/>
        <v>6.3487914062500046</v>
      </c>
    </row>
    <row r="183" spans="1:12" x14ac:dyDescent="0.2">
      <c r="A183">
        <v>181</v>
      </c>
      <c r="B183">
        <f ca="1">Computations!$B$2+A183*$P$2/$P$1</f>
        <v>0.182425</v>
      </c>
      <c r="C183">
        <f ca="1">LOOKUP(B183,Computations!$B$2:$B$100,Computations!$A$2:A$100)</f>
        <v>12</v>
      </c>
      <c r="D183">
        <f t="shared" ca="1" si="25"/>
        <v>0.18</v>
      </c>
      <c r="E183">
        <f t="shared" ca="1" si="27"/>
        <v>0.2</v>
      </c>
      <c r="F183">
        <f t="shared" ca="1" si="28"/>
        <v>0.12125000000000041</v>
      </c>
      <c r="G183">
        <f t="shared" ca="1" si="29"/>
        <v>0.85</v>
      </c>
      <c r="H183">
        <f t="shared" ca="1" si="30"/>
        <v>0.12162162162162175</v>
      </c>
      <c r="I183">
        <f t="shared" ca="1" si="31"/>
        <v>3.6756756756756562E-2</v>
      </c>
      <c r="J183">
        <f t="shared" ca="1" si="32"/>
        <v>-8.3783783783782928E-3</v>
      </c>
      <c r="K183">
        <f t="shared" ca="1" si="33"/>
        <v>0.86527206837890625</v>
      </c>
      <c r="L183">
        <f t="shared" ca="1" si="26"/>
        <v>6.5073843750000329</v>
      </c>
    </row>
    <row r="184" spans="1:12" x14ac:dyDescent="0.2">
      <c r="A184">
        <v>182</v>
      </c>
      <c r="B184">
        <f ca="1">Computations!$B$2+A184*$P$2/$P$1</f>
        <v>0.18335000000000001</v>
      </c>
      <c r="C184">
        <f ca="1">LOOKUP(B184,Computations!$B$2:$B$100,Computations!$A$2:A$100)</f>
        <v>12</v>
      </c>
      <c r="D184">
        <f t="shared" ca="1" si="25"/>
        <v>0.18</v>
      </c>
      <c r="E184">
        <f t="shared" ca="1" si="27"/>
        <v>0.2</v>
      </c>
      <c r="F184">
        <f t="shared" ca="1" si="28"/>
        <v>0.16750000000000084</v>
      </c>
      <c r="G184">
        <f t="shared" ca="1" si="29"/>
        <v>0.85</v>
      </c>
      <c r="H184">
        <f t="shared" ca="1" si="30"/>
        <v>0.12162162162162175</v>
      </c>
      <c r="I184">
        <f t="shared" ca="1" si="31"/>
        <v>3.6756756756756562E-2</v>
      </c>
      <c r="J184">
        <f t="shared" ca="1" si="32"/>
        <v>-8.3783783783782928E-3</v>
      </c>
      <c r="K184">
        <f t="shared" ca="1" si="33"/>
        <v>0.87136350484375014</v>
      </c>
      <c r="L184">
        <f t="shared" ca="1" si="26"/>
        <v>6.6606007812500021</v>
      </c>
    </row>
    <row r="185" spans="1:12" x14ac:dyDescent="0.2">
      <c r="A185">
        <v>183</v>
      </c>
      <c r="B185">
        <f ca="1">Computations!$B$2+A185*$P$2/$P$1</f>
        <v>0.18427499999999997</v>
      </c>
      <c r="C185">
        <f ca="1">LOOKUP(B185,Computations!$B$2:$B$100,Computations!$A$2:A$100)</f>
        <v>12</v>
      </c>
      <c r="D185">
        <f t="shared" ca="1" si="25"/>
        <v>0.18</v>
      </c>
      <c r="E185">
        <f t="shared" ca="1" si="27"/>
        <v>0.2</v>
      </c>
      <c r="F185">
        <f t="shared" ca="1" si="28"/>
        <v>0.21374999999999847</v>
      </c>
      <c r="G185">
        <f t="shared" ca="1" si="29"/>
        <v>0.85</v>
      </c>
      <c r="H185">
        <f t="shared" ca="1" si="30"/>
        <v>0.12162162162162175</v>
      </c>
      <c r="I185">
        <f t="shared" ca="1" si="31"/>
        <v>3.6756756756756562E-2</v>
      </c>
      <c r="J185">
        <f t="shared" ca="1" si="32"/>
        <v>-8.3783783783782928E-3</v>
      </c>
      <c r="K185">
        <f t="shared" ca="1" si="33"/>
        <v>0.8775941798242185</v>
      </c>
      <c r="L185">
        <f t="shared" ca="1" si="26"/>
        <v>6.8084406249999967</v>
      </c>
    </row>
    <row r="186" spans="1:12" x14ac:dyDescent="0.2">
      <c r="A186">
        <v>184</v>
      </c>
      <c r="B186">
        <f ca="1">Computations!$B$2+A186*$P$2/$P$1</f>
        <v>0.18519999999999998</v>
      </c>
      <c r="C186">
        <f ca="1">LOOKUP(B186,Computations!$B$2:$B$100,Computations!$A$2:A$100)</f>
        <v>12</v>
      </c>
      <c r="D186">
        <f t="shared" ca="1" si="25"/>
        <v>0.18</v>
      </c>
      <c r="E186">
        <f t="shared" ca="1" si="27"/>
        <v>0.2</v>
      </c>
      <c r="F186">
        <f t="shared" ca="1" si="28"/>
        <v>0.2599999999999989</v>
      </c>
      <c r="G186">
        <f t="shared" ca="1" si="29"/>
        <v>0.85</v>
      </c>
      <c r="H186">
        <f t="shared" ca="1" si="30"/>
        <v>0.12162162162162175</v>
      </c>
      <c r="I186">
        <f t="shared" ca="1" si="31"/>
        <v>3.6756756756756562E-2</v>
      </c>
      <c r="J186">
        <f t="shared" ca="1" si="32"/>
        <v>-8.3783783783782928E-3</v>
      </c>
      <c r="K186">
        <f t="shared" ca="1" si="33"/>
        <v>0.88395911999999988</v>
      </c>
      <c r="L186">
        <f t="shared" ca="1" si="26"/>
        <v>6.9509039062500628</v>
      </c>
    </row>
    <row r="187" spans="1:12" x14ac:dyDescent="0.2">
      <c r="A187">
        <v>185</v>
      </c>
      <c r="B187">
        <f ca="1">Computations!$B$2+A187*$P$2/$P$1</f>
        <v>0.18612499999999998</v>
      </c>
      <c r="C187">
        <f ca="1">LOOKUP(B187,Computations!$B$2:$B$100,Computations!$A$2:A$100)</f>
        <v>12</v>
      </c>
      <c r="D187">
        <f t="shared" ca="1" si="25"/>
        <v>0.18</v>
      </c>
      <c r="E187">
        <f t="shared" ca="1" si="27"/>
        <v>0.2</v>
      </c>
      <c r="F187">
        <f t="shared" ca="1" si="28"/>
        <v>0.3062499999999993</v>
      </c>
      <c r="G187">
        <f t="shared" ca="1" si="29"/>
        <v>0.85</v>
      </c>
      <c r="H187">
        <f t="shared" ca="1" si="30"/>
        <v>0.12162162162162175</v>
      </c>
      <c r="I187">
        <f t="shared" ca="1" si="31"/>
        <v>3.6756756756756562E-2</v>
      </c>
      <c r="J187">
        <f t="shared" ca="1" si="32"/>
        <v>-8.3783783783782928E-3</v>
      </c>
      <c r="K187">
        <f t="shared" ca="1" si="33"/>
        <v>0.89045335205078124</v>
      </c>
      <c r="L187">
        <f t="shared" ca="1" si="26"/>
        <v>7.0879906249999536</v>
      </c>
    </row>
    <row r="188" spans="1:12" x14ac:dyDescent="0.2">
      <c r="A188">
        <v>186</v>
      </c>
      <c r="B188">
        <f ca="1">Computations!$B$2+A188*$P$2/$P$1</f>
        <v>0.18704999999999999</v>
      </c>
      <c r="C188">
        <f ca="1">LOOKUP(B188,Computations!$B$2:$B$100,Computations!$A$2:A$100)</f>
        <v>12</v>
      </c>
      <c r="D188">
        <f t="shared" ca="1" si="25"/>
        <v>0.18</v>
      </c>
      <c r="E188">
        <f t="shared" ca="1" si="27"/>
        <v>0.2</v>
      </c>
      <c r="F188">
        <f t="shared" ca="1" si="28"/>
        <v>0.3524999999999997</v>
      </c>
      <c r="G188">
        <f t="shared" ca="1" si="29"/>
        <v>0.85</v>
      </c>
      <c r="H188">
        <f t="shared" ca="1" si="30"/>
        <v>0.12162162162162175</v>
      </c>
      <c r="I188">
        <f t="shared" ca="1" si="31"/>
        <v>3.6756756756756562E-2</v>
      </c>
      <c r="J188">
        <f t="shared" ca="1" si="32"/>
        <v>-8.3783783783782928E-3</v>
      </c>
      <c r="K188">
        <f t="shared" ca="1" si="33"/>
        <v>0.89707190265624992</v>
      </c>
      <c r="L188">
        <f t="shared" ca="1" si="26"/>
        <v>7.2197007812499452</v>
      </c>
    </row>
    <row r="189" spans="1:12" x14ac:dyDescent="0.2">
      <c r="A189">
        <v>187</v>
      </c>
      <c r="B189">
        <f ca="1">Computations!$B$2+A189*$P$2/$P$1</f>
        <v>0.187975</v>
      </c>
      <c r="C189">
        <f ca="1">LOOKUP(B189,Computations!$B$2:$B$100,Computations!$A$2:A$100)</f>
        <v>12</v>
      </c>
      <c r="D189">
        <f t="shared" ca="1" si="25"/>
        <v>0.18</v>
      </c>
      <c r="E189">
        <f t="shared" ca="1" si="27"/>
        <v>0.2</v>
      </c>
      <c r="F189">
        <f t="shared" ca="1" si="28"/>
        <v>0.39875000000000016</v>
      </c>
      <c r="G189">
        <f t="shared" ca="1" si="29"/>
        <v>0.85</v>
      </c>
      <c r="H189">
        <f t="shared" ca="1" si="30"/>
        <v>0.12162162162162175</v>
      </c>
      <c r="I189">
        <f t="shared" ca="1" si="31"/>
        <v>3.6756756756756562E-2</v>
      </c>
      <c r="J189">
        <f t="shared" ca="1" si="32"/>
        <v>-8.3783783783782928E-3</v>
      </c>
      <c r="K189">
        <f t="shared" ca="1" si="33"/>
        <v>0.90380979849609377</v>
      </c>
      <c r="L189">
        <f t="shared" ca="1" si="26"/>
        <v>7.3460343749999772</v>
      </c>
    </row>
    <row r="190" spans="1:12" x14ac:dyDescent="0.2">
      <c r="A190">
        <v>188</v>
      </c>
      <c r="B190">
        <f ca="1">Computations!$B$2+A190*$P$2/$P$1</f>
        <v>0.18890000000000001</v>
      </c>
      <c r="C190">
        <f ca="1">LOOKUP(B190,Computations!$B$2:$B$100,Computations!$A$2:A$100)</f>
        <v>12</v>
      </c>
      <c r="D190">
        <f t="shared" ca="1" si="25"/>
        <v>0.18</v>
      </c>
      <c r="E190">
        <f t="shared" ca="1" si="27"/>
        <v>0.2</v>
      </c>
      <c r="F190">
        <f t="shared" ca="1" si="28"/>
        <v>0.44500000000000056</v>
      </c>
      <c r="G190">
        <f t="shared" ca="1" si="29"/>
        <v>0.85</v>
      </c>
      <c r="H190">
        <f t="shared" ca="1" si="30"/>
        <v>0.12162162162162175</v>
      </c>
      <c r="I190">
        <f t="shared" ca="1" si="31"/>
        <v>3.6756756756756562E-2</v>
      </c>
      <c r="J190">
        <f t="shared" ca="1" si="32"/>
        <v>-8.3783783783782928E-3</v>
      </c>
      <c r="K190">
        <f t="shared" ca="1" si="33"/>
        <v>0.91066206625000001</v>
      </c>
      <c r="L190">
        <f t="shared" ca="1" si="26"/>
        <v>7.4669914062500347</v>
      </c>
    </row>
    <row r="191" spans="1:12" x14ac:dyDescent="0.2">
      <c r="A191">
        <v>189</v>
      </c>
      <c r="B191">
        <f ca="1">Computations!$B$2+A191*$P$2/$P$1</f>
        <v>0.18982499999999997</v>
      </c>
      <c r="C191">
        <f ca="1">LOOKUP(B191,Computations!$B$2:$B$100,Computations!$A$2:A$100)</f>
        <v>12</v>
      </c>
      <c r="D191">
        <f t="shared" ca="1" si="25"/>
        <v>0.18</v>
      </c>
      <c r="E191">
        <f t="shared" ca="1" si="27"/>
        <v>0.2</v>
      </c>
      <c r="F191">
        <f t="shared" ca="1" si="28"/>
        <v>0.49124999999999819</v>
      </c>
      <c r="G191">
        <f t="shared" ca="1" si="29"/>
        <v>0.85</v>
      </c>
      <c r="H191">
        <f t="shared" ca="1" si="30"/>
        <v>0.12162162162162175</v>
      </c>
      <c r="I191">
        <f t="shared" ca="1" si="31"/>
        <v>3.6756756756756562E-2</v>
      </c>
      <c r="J191">
        <f t="shared" ca="1" si="32"/>
        <v>-8.3783783783782928E-3</v>
      </c>
      <c r="K191">
        <f t="shared" ca="1" si="33"/>
        <v>0.91762373259765606</v>
      </c>
      <c r="L191">
        <f t="shared" ca="1" si="26"/>
        <v>7.5825718750000322</v>
      </c>
    </row>
    <row r="192" spans="1:12" x14ac:dyDescent="0.2">
      <c r="A192">
        <v>190</v>
      </c>
      <c r="B192">
        <f ca="1">Computations!$B$2+A192*$P$2/$P$1</f>
        <v>0.19074999999999998</v>
      </c>
      <c r="C192">
        <f ca="1">LOOKUP(B192,Computations!$B$2:$B$100,Computations!$A$2:A$100)</f>
        <v>12</v>
      </c>
      <c r="D192">
        <f t="shared" ca="1" si="25"/>
        <v>0.18</v>
      </c>
      <c r="E192">
        <f t="shared" ca="1" si="27"/>
        <v>0.2</v>
      </c>
      <c r="F192">
        <f t="shared" ca="1" si="28"/>
        <v>0.53749999999999865</v>
      </c>
      <c r="G192">
        <f t="shared" ca="1" si="29"/>
        <v>0.85</v>
      </c>
      <c r="H192">
        <f t="shared" ca="1" si="30"/>
        <v>0.12162162162162175</v>
      </c>
      <c r="I192">
        <f t="shared" ca="1" si="31"/>
        <v>3.6756756756756562E-2</v>
      </c>
      <c r="J192">
        <f t="shared" ca="1" si="32"/>
        <v>-8.3783783783782928E-3</v>
      </c>
      <c r="K192">
        <f t="shared" ca="1" si="33"/>
        <v>0.92468982421874979</v>
      </c>
      <c r="L192">
        <f t="shared" ca="1" si="26"/>
        <v>7.6927757812499582</v>
      </c>
    </row>
    <row r="193" spans="1:12" x14ac:dyDescent="0.2">
      <c r="A193">
        <v>191</v>
      </c>
      <c r="B193">
        <f ca="1">Computations!$B$2+A193*$P$2/$P$1</f>
        <v>0.19167499999999998</v>
      </c>
      <c r="C193">
        <f ca="1">LOOKUP(B193,Computations!$B$2:$B$100,Computations!$A$2:A$100)</f>
        <v>12</v>
      </c>
      <c r="D193">
        <f t="shared" ca="1" si="25"/>
        <v>0.18</v>
      </c>
      <c r="E193">
        <f t="shared" ca="1" si="27"/>
        <v>0.2</v>
      </c>
      <c r="F193">
        <f t="shared" ca="1" si="28"/>
        <v>0.58374999999999899</v>
      </c>
      <c r="G193">
        <f t="shared" ca="1" si="29"/>
        <v>0.85</v>
      </c>
      <c r="H193">
        <f t="shared" ca="1" si="30"/>
        <v>0.12162162162162175</v>
      </c>
      <c r="I193">
        <f t="shared" ca="1" si="31"/>
        <v>3.6756756756756562E-2</v>
      </c>
      <c r="J193">
        <f t="shared" ca="1" si="32"/>
        <v>-8.3783783783782928E-3</v>
      </c>
      <c r="K193">
        <f t="shared" ca="1" si="33"/>
        <v>0.93185536779296863</v>
      </c>
      <c r="L193">
        <f t="shared" ca="1" si="26"/>
        <v>7.7976031249999735</v>
      </c>
    </row>
    <row r="194" spans="1:12" x14ac:dyDescent="0.2">
      <c r="A194">
        <v>192</v>
      </c>
      <c r="B194">
        <f ca="1">Computations!$B$2+A194*$P$2/$P$1</f>
        <v>0.19259999999999999</v>
      </c>
      <c r="C194">
        <f ca="1">LOOKUP(B194,Computations!$B$2:$B$100,Computations!$A$2:A$100)</f>
        <v>12</v>
      </c>
      <c r="D194">
        <f t="shared" ca="1" si="25"/>
        <v>0.18</v>
      </c>
      <c r="E194">
        <f t="shared" ca="1" si="27"/>
        <v>0.2</v>
      </c>
      <c r="F194">
        <f t="shared" ca="1" si="28"/>
        <v>0.62999999999999945</v>
      </c>
      <c r="G194">
        <f t="shared" ca="1" si="29"/>
        <v>0.85</v>
      </c>
      <c r="H194">
        <f t="shared" ca="1" si="30"/>
        <v>0.12162162162162175</v>
      </c>
      <c r="I194">
        <f t="shared" ca="1" si="31"/>
        <v>3.6756756756756562E-2</v>
      </c>
      <c r="J194">
        <f t="shared" ca="1" si="32"/>
        <v>-8.3783783783782928E-3</v>
      </c>
      <c r="K194">
        <f t="shared" ca="1" si="33"/>
        <v>0.93911538999999988</v>
      </c>
      <c r="L194">
        <f t="shared" ca="1" si="26"/>
        <v>7.8970539062499094</v>
      </c>
    </row>
    <row r="195" spans="1:12" x14ac:dyDescent="0.2">
      <c r="A195">
        <v>193</v>
      </c>
      <c r="B195">
        <f ca="1">Computations!$B$2+A195*$P$2/$P$1</f>
        <v>0.193525</v>
      </c>
      <c r="C195">
        <f ca="1">LOOKUP(B195,Computations!$B$2:$B$100,Computations!$A$2:A$100)</f>
        <v>12</v>
      </c>
      <c r="D195">
        <f t="shared" ref="D195:D202" ca="1" si="34">INDIRECT("Computations!B"&amp;C195)</f>
        <v>0.18</v>
      </c>
      <c r="E195">
        <f t="shared" ca="1" si="27"/>
        <v>0.2</v>
      </c>
      <c r="F195">
        <f t="shared" ca="1" si="28"/>
        <v>0.67624999999999991</v>
      </c>
      <c r="G195">
        <f t="shared" ca="1" si="29"/>
        <v>0.85</v>
      </c>
      <c r="H195">
        <f t="shared" ca="1" si="30"/>
        <v>0.12162162162162175</v>
      </c>
      <c r="I195">
        <f t="shared" ca="1" si="31"/>
        <v>3.6756756756756562E-2</v>
      </c>
      <c r="J195">
        <f t="shared" ca="1" si="32"/>
        <v>-8.3783783783782928E-3</v>
      </c>
      <c r="K195">
        <f t="shared" ca="1" si="33"/>
        <v>0.9464649175195311</v>
      </c>
      <c r="L195">
        <f t="shared" ca="1" si="26"/>
        <v>7.9911281250000057</v>
      </c>
    </row>
    <row r="196" spans="1:12" x14ac:dyDescent="0.2">
      <c r="A196">
        <v>194</v>
      </c>
      <c r="B196">
        <f ca="1">Computations!$B$2+A196*$P$2/$P$1</f>
        <v>0.19445000000000001</v>
      </c>
      <c r="C196">
        <f ca="1">LOOKUP(B196,Computations!$B$2:$B$100,Computations!$A$2:A$100)</f>
        <v>12</v>
      </c>
      <c r="D196">
        <f t="shared" ca="1" si="34"/>
        <v>0.18</v>
      </c>
      <c r="E196">
        <f t="shared" ca="1" si="27"/>
        <v>0.2</v>
      </c>
      <c r="F196">
        <f t="shared" ca="1" si="28"/>
        <v>0.72250000000000025</v>
      </c>
      <c r="G196">
        <f t="shared" ca="1" si="29"/>
        <v>0.85</v>
      </c>
      <c r="H196">
        <f t="shared" ca="1" si="30"/>
        <v>0.12162162162162175</v>
      </c>
      <c r="I196">
        <f t="shared" ca="1" si="31"/>
        <v>3.6756756756756562E-2</v>
      </c>
      <c r="J196">
        <f t="shared" ca="1" si="32"/>
        <v>-8.3783783783782928E-3</v>
      </c>
      <c r="K196">
        <f t="shared" ca="1" si="33"/>
        <v>0.95389897703125004</v>
      </c>
      <c r="L196">
        <f t="shared" ref="L196:L201" ca="1" si="35">(K197-K195)/(B197-B195)</f>
        <v>8.0798257812500829</v>
      </c>
    </row>
    <row r="197" spans="1:12" x14ac:dyDescent="0.2">
      <c r="A197">
        <v>195</v>
      </c>
      <c r="B197">
        <f ca="1">Computations!$B$2+A197*$P$2/$P$1</f>
        <v>0.19537500000000002</v>
      </c>
      <c r="C197">
        <f ca="1">LOOKUP(B197,Computations!$B$2:$B$100,Computations!$A$2:A$100)</f>
        <v>12</v>
      </c>
      <c r="D197">
        <f t="shared" ca="1" si="34"/>
        <v>0.18</v>
      </c>
      <c r="E197">
        <f t="shared" ca="1" si="27"/>
        <v>0.2</v>
      </c>
      <c r="F197">
        <f t="shared" ca="1" si="28"/>
        <v>0.76875000000000071</v>
      </c>
      <c r="G197">
        <f t="shared" ca="1" si="29"/>
        <v>0.85</v>
      </c>
      <c r="H197">
        <f t="shared" ca="1" si="30"/>
        <v>0.12162162162162175</v>
      </c>
      <c r="I197">
        <f t="shared" ca="1" si="31"/>
        <v>3.6756756756756562E-2</v>
      </c>
      <c r="J197">
        <f t="shared" ca="1" si="32"/>
        <v>-8.3783783783782928E-3</v>
      </c>
      <c r="K197">
        <f t="shared" ca="1" si="33"/>
        <v>0.9614125952148439</v>
      </c>
      <c r="L197">
        <f t="shared" ca="1" si="35"/>
        <v>8.1631468750000238</v>
      </c>
    </row>
    <row r="198" spans="1:12" x14ac:dyDescent="0.2">
      <c r="A198">
        <v>196</v>
      </c>
      <c r="B198">
        <f ca="1">Computations!$B$2+A198*$P$2/$P$1</f>
        <v>0.19629999999999997</v>
      </c>
      <c r="C198">
        <f ca="1">LOOKUP(B198,Computations!$B$2:$B$100,Computations!$A$2:A$100)</f>
        <v>12</v>
      </c>
      <c r="D198">
        <f t="shared" ca="1" si="34"/>
        <v>0.18</v>
      </c>
      <c r="E198">
        <f t="shared" ca="1" si="27"/>
        <v>0.2</v>
      </c>
      <c r="F198">
        <f t="shared" ca="1" si="28"/>
        <v>0.81499999999999828</v>
      </c>
      <c r="G198">
        <f t="shared" ca="1" si="29"/>
        <v>0.85</v>
      </c>
      <c r="H198">
        <f t="shared" ca="1" si="30"/>
        <v>0.12162162162162175</v>
      </c>
      <c r="I198">
        <f t="shared" ca="1" si="31"/>
        <v>3.6756756756756562E-2</v>
      </c>
      <c r="J198">
        <f t="shared" ca="1" si="32"/>
        <v>-8.3783783783782928E-3</v>
      </c>
      <c r="K198">
        <f t="shared" ca="1" si="33"/>
        <v>0.96900079874999978</v>
      </c>
      <c r="L198">
        <f t="shared" ca="1" si="35"/>
        <v>8.2410914062500051</v>
      </c>
    </row>
    <row r="199" spans="1:12" x14ac:dyDescent="0.2">
      <c r="A199">
        <v>197</v>
      </c>
      <c r="B199">
        <f ca="1">Computations!$B$2+A199*$P$2/$P$1</f>
        <v>0.19722499999999998</v>
      </c>
      <c r="C199">
        <f ca="1">LOOKUP(B199,Computations!$B$2:$B$100,Computations!$A$2:A$100)</f>
        <v>12</v>
      </c>
      <c r="D199">
        <f t="shared" ca="1" si="34"/>
        <v>0.18</v>
      </c>
      <c r="E199">
        <f t="shared" ca="1" si="27"/>
        <v>0.2</v>
      </c>
      <c r="F199">
        <f t="shared" ca="1" si="28"/>
        <v>0.86124999999999874</v>
      </c>
      <c r="G199">
        <f t="shared" ca="1" si="29"/>
        <v>0.85</v>
      </c>
      <c r="H199">
        <f t="shared" ca="1" si="30"/>
        <v>0.12162162162162175</v>
      </c>
      <c r="I199">
        <f t="shared" ca="1" si="31"/>
        <v>3.6756756756756562E-2</v>
      </c>
      <c r="J199">
        <f t="shared" ca="1" si="32"/>
        <v>-8.3783783783782928E-3</v>
      </c>
      <c r="K199">
        <f t="shared" ca="1" si="33"/>
        <v>0.9766586143164061</v>
      </c>
      <c r="L199">
        <f t="shared" ca="1" si="35"/>
        <v>8.3136593749999559</v>
      </c>
    </row>
    <row r="200" spans="1:12" x14ac:dyDescent="0.2">
      <c r="A200">
        <v>198</v>
      </c>
      <c r="B200">
        <f ca="1">Computations!$B$2+A200*$P$2/$P$1</f>
        <v>0.19814999999999999</v>
      </c>
      <c r="C200">
        <f ca="1">LOOKUP(B200,Computations!$B$2:$B$100,Computations!$A$2:A$100)</f>
        <v>12</v>
      </c>
      <c r="D200">
        <f t="shared" ca="1" si="34"/>
        <v>0.18</v>
      </c>
      <c r="E200">
        <f t="shared" ca="1" si="27"/>
        <v>0.2</v>
      </c>
      <c r="F200">
        <f t="shared" ca="1" si="28"/>
        <v>0.9074999999999992</v>
      </c>
      <c r="G200">
        <f t="shared" ca="1" si="29"/>
        <v>0.85</v>
      </c>
      <c r="H200">
        <f t="shared" ca="1" si="30"/>
        <v>0.12162162162162175</v>
      </c>
      <c r="I200">
        <f t="shared" ca="1" si="31"/>
        <v>3.6756756756756562E-2</v>
      </c>
      <c r="J200">
        <f t="shared" ca="1" si="32"/>
        <v>-8.3783783783782928E-3</v>
      </c>
      <c r="K200">
        <f t="shared" ca="1" si="33"/>
        <v>0.98438106859374985</v>
      </c>
      <c r="L200">
        <f t="shared" ca="1" si="35"/>
        <v>8.380850781249956</v>
      </c>
    </row>
    <row r="201" spans="1:12" x14ac:dyDescent="0.2">
      <c r="A201">
        <v>199</v>
      </c>
      <c r="B201">
        <f ca="1">Computations!$B$2+A201*$P$2/$P$1</f>
        <v>0.199075</v>
      </c>
      <c r="C201">
        <f ca="1">LOOKUP(B201,Computations!$B$2:$B$100,Computations!$A$2:A$100)</f>
        <v>12</v>
      </c>
      <c r="D201">
        <f t="shared" ca="1" si="34"/>
        <v>0.18</v>
      </c>
      <c r="E201">
        <f t="shared" ca="1" si="27"/>
        <v>0.2</v>
      </c>
      <c r="F201">
        <f t="shared" ca="1" si="28"/>
        <v>0.95374999999999954</v>
      </c>
      <c r="G201">
        <f t="shared" ca="1" si="29"/>
        <v>0.85</v>
      </c>
      <c r="H201">
        <f t="shared" ca="1" si="30"/>
        <v>0.12162162162162175</v>
      </c>
      <c r="I201">
        <f t="shared" ca="1" si="31"/>
        <v>3.6756756756756562E-2</v>
      </c>
      <c r="J201">
        <f t="shared" ca="1" si="32"/>
        <v>-8.3783783783782928E-3</v>
      </c>
      <c r="K201">
        <f t="shared" ca="1" si="33"/>
        <v>0.99216318826171868</v>
      </c>
      <c r="L201">
        <f t="shared" ca="1" si="35"/>
        <v>8.4426656249999361</v>
      </c>
    </row>
    <row r="202" spans="1:12" x14ac:dyDescent="0.2">
      <c r="A202">
        <v>200</v>
      </c>
      <c r="B202">
        <f ca="1">Computations!$B$2+A202*$P$2/$P$1</f>
        <v>0.2</v>
      </c>
      <c r="C202">
        <f ca="1">n</f>
        <v>12</v>
      </c>
      <c r="D202">
        <f t="shared" ca="1" si="34"/>
        <v>0.18</v>
      </c>
      <c r="E202">
        <f t="shared" ca="1" si="27"/>
        <v>0.2</v>
      </c>
      <c r="F202">
        <f t="shared" ca="1" si="28"/>
        <v>1</v>
      </c>
      <c r="G202">
        <f t="shared" ca="1" si="29"/>
        <v>0.85</v>
      </c>
      <c r="H202">
        <f t="shared" ca="1" si="30"/>
        <v>0.12162162162162175</v>
      </c>
      <c r="I202">
        <f t="shared" ca="1" si="31"/>
        <v>3.6756756756756562E-2</v>
      </c>
      <c r="J202">
        <f t="shared" ca="1" si="32"/>
        <v>-8.3783783783782928E-3</v>
      </c>
      <c r="K202">
        <f t="shared" ca="1" si="33"/>
        <v>0.99999999999999989</v>
      </c>
      <c r="L202"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B92449D07C8D4B9A11B36D3DD1493B" ma:contentTypeVersion="3" ma:contentTypeDescription="Create a new document." ma:contentTypeScope="" ma:versionID="12876fd8bd5d90ce750491db8e9e67c2">
  <xsd:schema xmlns:xsd="http://www.w3.org/2001/XMLSchema" xmlns:xs="http://www.w3.org/2001/XMLSchema" xmlns:p="http://schemas.microsoft.com/office/2006/metadata/properties" xmlns:ns2="18b8549e-3e0d-4ec5-af2b-e3bc54260487" targetNamespace="http://schemas.microsoft.com/office/2006/metadata/properties" ma:root="true" ma:fieldsID="45151d2993f903c2059e1e395416a0b1" ns2:_="">
    <xsd:import namespace="18b8549e-3e0d-4ec5-af2b-e3bc54260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b8549e-3e0d-4ec5-af2b-e3bc542604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AED7DC-B3BF-4D28-BB7E-289D232902FC}"/>
</file>

<file path=customXml/itemProps2.xml><?xml version="1.0" encoding="utf-8"?>
<ds:datastoreItem xmlns:ds="http://schemas.openxmlformats.org/officeDocument/2006/customXml" ds:itemID="{23F2C8B1-26F5-4087-9C20-592A1F2739FF}"/>
</file>

<file path=customXml/itemProps3.xml><?xml version="1.0" encoding="utf-8"?>
<ds:datastoreItem xmlns:ds="http://schemas.openxmlformats.org/officeDocument/2006/customXml" ds:itemID="{19310A6F-400B-49A2-880E-4E39559D9D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Spline</vt:lpstr>
      <vt:lpstr>ErrorStatus</vt:lpstr>
      <vt:lpstr>PDF</vt:lpstr>
      <vt:lpstr>InverseCDF</vt:lpstr>
      <vt:lpstr>Computations</vt:lpstr>
      <vt:lpstr>CurveData</vt:lpstr>
      <vt:lpstr>n</vt:lpstr>
    </vt:vector>
  </TitlesOfParts>
  <Company>Georgia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cparedis</dc:creator>
  <cp:lastModifiedBy>Pfaff, Michael</cp:lastModifiedBy>
  <dcterms:created xsi:type="dcterms:W3CDTF">2007-10-06T13:17:57Z</dcterms:created>
  <dcterms:modified xsi:type="dcterms:W3CDTF">2025-11-16T04:30:39Z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0x01010000B92449D07C8D4B9A11B36D3DD1493B</vt:lpwstr>
  </property>
</Properties>
</file>