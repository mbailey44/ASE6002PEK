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531a99d7244c5b/Documents/GitHub/ASE6002PEK/Cost/"/>
    </mc:Choice>
  </mc:AlternateContent>
  <xr:revisionPtr revIDLastSave="89906" documentId="114_{47B3782D-1062-4586-AE5B-422B5006DA14}" xr6:coauthVersionLast="47" xr6:coauthVersionMax="47" xr10:uidLastSave="{E2E07DA7-7725-434D-9CB9-78CD6C4D8128}"/>
  <bookViews>
    <workbookView xWindow="9105" yWindow="5325" windowWidth="38700" windowHeight="15345" xr2:uid="{BC878E6E-4D73-4248-A308-30E2E8B17DDC}"/>
  </bookViews>
  <sheets>
    <sheet name="Sheet1" sheetId="1" r:id="rId1"/>
  </sheets>
  <definedNames>
    <definedName name="Battery_Cost_USD">Sheet1!$B$4</definedName>
    <definedName name="cost_lid">Sheet1!$B$3</definedName>
    <definedName name="Demand">Sheet1!$B$16</definedName>
    <definedName name="Total_Cost">Sheet1!$B$8</definedName>
    <definedName name="UNC_Compliance_Fixed">Sheet1!$B$12</definedName>
    <definedName name="UNC_Demand_Variation">Sheet1!$B$17</definedName>
    <definedName name="UNC_MFG_Fixed">Sheet1!$B$13</definedName>
    <definedName name="UNC_Testing_Fixed">Sheet1!$B$14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G2" i="1"/>
  <c r="G5" i="1"/>
  <c r="G3" i="1"/>
  <c r="B8" i="1"/>
  <c r="G6" i="1" l="1"/>
  <c r="G8" i="1" s="1"/>
</calcChain>
</file>

<file path=xl/sharedStrings.xml><?xml version="1.0" encoding="utf-8"?>
<sst xmlns="http://schemas.openxmlformats.org/spreadsheetml/2006/main" count="38" uniqueCount="28">
  <si>
    <t>cost_lid</t>
  </si>
  <si>
    <t>$</t>
  </si>
  <si>
    <t>Unit</t>
  </si>
  <si>
    <t>Variable Name</t>
  </si>
  <si>
    <t>Value</t>
  </si>
  <si>
    <t>container_cost</t>
  </si>
  <si>
    <t>Test Equipment</t>
  </si>
  <si>
    <t>Manufacturing Tooling</t>
  </si>
  <si>
    <t>QA Equipment</t>
  </si>
  <si>
    <t xml:space="preserve">safety and compliance testing </t>
  </si>
  <si>
    <t>Fixed Costs</t>
  </si>
  <si>
    <t>Total_fixed_costs</t>
  </si>
  <si>
    <t>heating element</t>
  </si>
  <si>
    <t>Battery_Cost_USD</t>
  </si>
  <si>
    <t>unit quantity</t>
  </si>
  <si>
    <t>Fixed_costs_per_unit</t>
  </si>
  <si>
    <t>Total_Variable_Cost</t>
  </si>
  <si>
    <t>Uncertainty</t>
  </si>
  <si>
    <t>% Cost Fluctuation</t>
  </si>
  <si>
    <t>Adjusted</t>
  </si>
  <si>
    <t>Base Value</t>
  </si>
  <si>
    <t>UNC_Compliance_Fixed</t>
  </si>
  <si>
    <t>UNC_MFG_Fixed</t>
  </si>
  <si>
    <t>Demand</t>
  </si>
  <si>
    <t>raw demand</t>
  </si>
  <si>
    <t>UNC_Demand_Variation</t>
  </si>
  <si>
    <t>% variation</t>
  </si>
  <si>
    <t>UNC_Testing_Fixed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</si>
</sst>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7304-AB3A-4B8B-82AA-38816B5F8F53}">
  <dimension ref="A1:I17"/>
  <sheetViews>
    <sheetView tabSelected="1" workbookViewId="0">
      <selection activeCell="F23" sqref="F23"/>
    </sheetView>
  </sheetViews>
  <sheetFormatPr defaultRowHeight="15" x14ac:dyDescent="0.25"/>
  <cols>
    <col min="1" max="1" width="23.7109375" customWidth="1"/>
    <col min="3" max="3" width="18.42578125" customWidth="1"/>
    <col min="6" max="6" width="28.140625" bestFit="1" customWidth="1"/>
    <col min="9" max="9" width="13.85546875" customWidth="1"/>
  </cols>
  <sheetData>
    <row r="1" spans="1:9" x14ac:dyDescent="0.25">
      <c r="A1" t="s">
        <v>3</v>
      </c>
      <c r="B1" t="s">
        <v>4</v>
      </c>
      <c r="C1" t="s">
        <v>2</v>
      </c>
      <c r="F1" t="s">
        <v>10</v>
      </c>
      <c r="G1" t="s">
        <v>19</v>
      </c>
      <c r="I1" t="s">
        <v>20</v>
      </c>
    </row>
    <row r="2" spans="1:9" x14ac:dyDescent="0.25">
      <c r="A2" t="s">
        <v>5</v>
      </c>
      <c r="B2" s="1">
        <v>1.9969953477374001</v>
      </c>
      <c r="C2" t="s">
        <v>1</v>
      </c>
      <c r="F2" t="s">
        <v>6</v>
      </c>
      <c r="G2">
        <f>I2*B14</f>
        <v>24942.965213645573</v>
      </c>
      <c r="H2" t="s">
        <v>1</v>
      </c>
      <c r="I2">
        <v>25000</v>
      </c>
    </row>
    <row r="3" spans="1:9" x14ac:dyDescent="0.25">
      <c r="A3" t="s">
        <v>0</v>
      </c>
      <c r="B3">
        <v>6.6962978052113797</v>
      </c>
      <c r="C3" t="s">
        <v>1</v>
      </c>
      <c r="F3" t="s">
        <v>7</v>
      </c>
      <c r="G3">
        <f>I3*B13</f>
        <v>79427.911635241995</v>
      </c>
      <c r="H3" t="s">
        <v>1</v>
      </c>
      <c r="I3">
        <v>80000</v>
      </c>
    </row>
    <row r="4" spans="1:9" x14ac:dyDescent="0.25">
      <c r="A4" t="s">
        <v>13</v>
      </c>
      <c r="B4">
        <v>25.000673015324399</v>
      </c>
      <c r="C4" t="s">
        <v>1</v>
      </c>
      <c r="F4" t="s">
        <v>8</v>
      </c>
      <c r="G4">
        <v>10000</v>
      </c>
      <c r="H4" t="s">
        <v>1</v>
      </c>
    </row>
    <row r="5" spans="1:9" x14ac:dyDescent="0.25">
      <c r="A5" t="s">
        <v>12</v>
      </c>
      <c r="B5">
        <v>3.6568889320404301</v>
      </c>
      <c r="F5" t="s">
        <v>9</v>
      </c>
      <c r="G5">
        <f>I5*B12</f>
        <v>25385.2828164645</v>
      </c>
      <c r="H5" t="s">
        <v>1</v>
      </c>
      <c r="I5">
        <v>25000</v>
      </c>
    </row>
    <row r="6" spans="1:9" x14ac:dyDescent="0.25">
      <c r="A6" t="s">
        <v>14</v>
      </c>
      <c r="B6">
        <f>_xlfn.CEILING.MATH((B17*B16), 100)</f>
        <v>1900</v>
      </c>
      <c r="F6" t="s">
        <v>11</v>
      </c>
      <c r="G6">
        <f>SUM(G2:G5)</f>
        <v>139756.15966535205</v>
      </c>
      <c r="H6" t="s">
        <v>1</v>
      </c>
    </row>
    <row r="8" spans="1:9" x14ac:dyDescent="0.25">
      <c r="A8" t="s">
        <v>16</v>
      </c>
      <c r="B8">
        <f>SUM(B2:B5)</f>
        <v>37.350855100313609</v>
      </c>
      <c r="C8" t="s">
        <v>1</v>
      </c>
      <c r="F8" t="s">
        <v>15</v>
      </c>
      <c r="G8">
        <f>G6 / B6</f>
        <v>73.555873508080026</v>
      </c>
    </row>
    <row r="11" spans="1:9" x14ac:dyDescent="0.25">
      <c r="A11" t="s">
        <v>17</v>
      </c>
    </row>
    <row r="12" spans="1:9" x14ac:dyDescent="0.25">
      <c r="A12" t="s">
        <v>21</v>
      </c>
      <c r="B12">
        <v>1.01541131265858</v>
      </c>
      <c r="C12" t="s">
        <v>18</v>
      </c>
    </row>
    <row r="13" spans="1:9" x14ac:dyDescent="0.25">
      <c r="A13" t="s">
        <v>22</v>
      </c>
      <c r="B13">
        <v>0.99284889544052501</v>
      </c>
      <c r="C13" t="s">
        <v>18</v>
      </c>
    </row>
    <row r="14" spans="1:9" x14ac:dyDescent="0.25">
      <c r="A14" t="s">
        <v>27</v>
      </c>
      <c r="B14">
        <v>0.99771860854582295</v>
      </c>
      <c r="C14" t="s">
        <v>18</v>
      </c>
    </row>
    <row r="16" spans="1:9" x14ac:dyDescent="0.25">
      <c r="A16" t="s">
        <v>23</v>
      </c>
      <c r="B16">
        <v>1978.5</v>
      </c>
      <c r="C16" t="s">
        <v>24</v>
      </c>
    </row>
    <row r="17" spans="1:3" x14ac:dyDescent="0.25">
      <c r="A17" t="s">
        <v>25</v>
      </c>
      <c r="B17">
        <v>0.91738890416793295</v>
      </c>
      <c r="C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Battery_Cost_USD</vt:lpstr>
      <vt:lpstr>cost_lid</vt:lpstr>
      <vt:lpstr>Demand</vt:lpstr>
      <vt:lpstr>Total_Cost</vt:lpstr>
      <vt:lpstr>UNC_Compliance_Fixed</vt:lpstr>
      <vt:lpstr>UNC_Demand_Variation</vt:lpstr>
      <vt:lpstr>UNC_MFG_Fixed</vt:lpstr>
      <vt:lpstr>UNC_Testing_Fixed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Calimlim, Luke</dc:creator>
  <cp:lastModifiedBy>Michael Bailey</cp:lastModifiedBy>
  <dcterms:created xsi:type="dcterms:W3CDTF">2025-10-29T03:42:52Z</dcterms:created>
  <dcterms:modified xsi:type="dcterms:W3CDTF">2025-11-16T20:41:57Z</dcterms:modified>
</cp:coreProperties>
</file>