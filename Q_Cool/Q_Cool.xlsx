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531a99d7244c5b/Documents/GitHub/ASE6002PEK/Q_Cool/"/>
    </mc:Choice>
  </mc:AlternateContent>
  <xr:revisionPtr revIDLastSave="14042" documentId="114_{FF5EDC6A-1FA3-4945-9C9C-BB383A9F0039}" xr6:coauthVersionLast="47" xr6:coauthVersionMax="47" xr10:uidLastSave="{3F9A31F3-3824-4018-A434-3AF037F757AE}"/>
  <bookViews>
    <workbookView xWindow="9105" yWindow="5325" windowWidth="38700" windowHeight="15345" xr2:uid="{88502E7A-6C66-4183-A361-D0DC5516A7E2}"/>
  </bookViews>
  <sheets>
    <sheet name="Sheet1" sheetId="1" r:id="rId1"/>
  </sheets>
  <definedNames>
    <definedName name="area_lid">Sheet1!$B$5</definedName>
    <definedName name="c_water">Sheet1!$B$10</definedName>
    <definedName name="dQ_cool">Sheet1!$B$8</definedName>
    <definedName name="dt_cool">Sheet1!$B$7</definedName>
    <definedName name="fluid_mass">Sheet1!$B$11</definedName>
    <definedName name="k_lid">Sheet1!$B$3</definedName>
    <definedName name="Q_cool">Sheet1!$B$12</definedName>
    <definedName name="set_temp">Sheet1!$B$6</definedName>
    <definedName name="thickness_lid">Sheet1!$B$4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12" i="1"/>
</calcChain>
</file>

<file path=xl/sharedStrings.xml><?xml version="1.0" encoding="utf-8"?>
<sst xmlns="http://schemas.openxmlformats.org/spreadsheetml/2006/main" count="19" uniqueCount="18">
  <si>
    <t>Q to Cool</t>
  </si>
  <si>
    <t>k_lid</t>
  </si>
  <si>
    <t>area_lid</t>
  </si>
  <si>
    <t>cm^2</t>
  </si>
  <si>
    <t>set_temp</t>
  </si>
  <si>
    <t>dt_cool</t>
  </si>
  <si>
    <t>degC</t>
  </si>
  <si>
    <t>thickness_lid</t>
  </si>
  <si>
    <t>cm</t>
  </si>
  <si>
    <t>Q_cool</t>
  </si>
  <si>
    <t>J</t>
  </si>
  <si>
    <t>J\s</t>
  </si>
  <si>
    <t>dQ_cool</t>
  </si>
  <si>
    <t>fluid_mass</t>
  </si>
  <si>
    <t>kg</t>
  </si>
  <si>
    <t>c_water</t>
  </si>
  <si>
    <t>J/(kg*degC)</t>
  </si>
  <si>
    <t>W/(cm*k)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</si>
</sst>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D725B-6FFE-471E-BCAC-96757FF5B8D4}">
  <dimension ref="A1:C12"/>
  <sheetViews>
    <sheetView tabSelected="1" workbookViewId="0">
      <selection activeCell="B9" sqref="B9"/>
    </sheetView>
  </sheetViews>
  <sheetFormatPr defaultRowHeight="15" x14ac:dyDescent="0.25"/>
  <cols>
    <col min="1" max="1" width="13.28515625" customWidth="1"/>
  </cols>
  <sheetData>
    <row r="1" spans="1:3" x14ac:dyDescent="0.25">
      <c r="A1" t="s">
        <v>0</v>
      </c>
    </row>
    <row r="3" spans="1:3" x14ac:dyDescent="0.25">
      <c r="A3" t="s">
        <v>1</v>
      </c>
      <c r="B3">
        <v>4.4999999999999997E-3</v>
      </c>
      <c r="C3" t="s">
        <v>17</v>
      </c>
    </row>
    <row r="4" spans="1:3" x14ac:dyDescent="0.25">
      <c r="A4" t="s">
        <v>7</v>
      </c>
      <c r="B4">
        <v>0.2</v>
      </c>
      <c r="C4" t="s">
        <v>8</v>
      </c>
    </row>
    <row r="5" spans="1:3" x14ac:dyDescent="0.25">
      <c r="A5" t="s">
        <v>2</v>
      </c>
      <c r="B5">
        <v>706.5</v>
      </c>
      <c r="C5" t="s">
        <v>3</v>
      </c>
    </row>
    <row r="6" spans="1:3" x14ac:dyDescent="0.25">
      <c r="A6" t="s">
        <v>4</v>
      </c>
      <c r="B6">
        <v>90</v>
      </c>
      <c r="C6" t="s">
        <v>6</v>
      </c>
    </row>
    <row r="7" spans="1:3" x14ac:dyDescent="0.25">
      <c r="A7" t="s">
        <v>5</v>
      </c>
      <c r="B7">
        <v>25</v>
      </c>
      <c r="C7" t="s">
        <v>6</v>
      </c>
    </row>
    <row r="8" spans="1:3" x14ac:dyDescent="0.25">
      <c r="A8" t="s">
        <v>12</v>
      </c>
      <c r="B8">
        <f>k_lid*area_lid*(set_temp-dt_cool)/thickness_lid</f>
        <v>1033.2562499999999</v>
      </c>
      <c r="C8" t="s">
        <v>11</v>
      </c>
    </row>
    <row r="10" spans="1:3" x14ac:dyDescent="0.25">
      <c r="A10" t="s">
        <v>15</v>
      </c>
      <c r="B10">
        <v>4184</v>
      </c>
      <c r="C10" t="s">
        <v>16</v>
      </c>
    </row>
    <row r="11" spans="1:3" x14ac:dyDescent="0.25">
      <c r="A11" t="s">
        <v>13</v>
      </c>
      <c r="B11">
        <v>0.5</v>
      </c>
      <c r="C11" t="s">
        <v>14</v>
      </c>
    </row>
    <row r="12" spans="1:3" x14ac:dyDescent="0.25">
      <c r="A12" t="s">
        <v>9</v>
      </c>
      <c r="B12">
        <f>fluid_mass*c_water*dt_cool</f>
        <v>52300</v>
      </c>
      <c r="C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Sheet1</vt:lpstr>
      <vt:lpstr>area_lid</vt:lpstr>
      <vt:lpstr>c_water</vt:lpstr>
      <vt:lpstr>dQ_cool</vt:lpstr>
      <vt:lpstr>dt_cool</vt:lpstr>
      <vt:lpstr>fluid_mass</vt:lpstr>
      <vt:lpstr>k_lid</vt:lpstr>
      <vt:lpstr>Q_cool</vt:lpstr>
      <vt:lpstr>set_temp</vt:lpstr>
      <vt:lpstr>thickness_lid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Calimlim, Luke</dc:creator>
  <cp:lastModifiedBy>Michael Bailey</cp:lastModifiedBy>
  <dcterms:created xsi:type="dcterms:W3CDTF">2025-10-28T04:13:16Z</dcterms:created>
  <dcterms:modified xsi:type="dcterms:W3CDTF">2025-11-15T04:27:35Z</dcterms:modified>
</cp:coreProperties>
</file>